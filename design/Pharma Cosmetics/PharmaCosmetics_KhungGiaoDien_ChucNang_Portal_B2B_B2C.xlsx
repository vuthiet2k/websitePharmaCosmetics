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Tong_Quan_Kien_Truc" sheetId="1" r:id="rId5"/>
    <sheet state="visible" name="00_Quy_Chuan_Design_System" sheetId="2" r:id="rId6"/>
    <sheet state="visible" name="Trang_Chu_Portal" sheetId="3" r:id="rId7"/>
    <sheet state="visible" name="Danh_Muc_Collection" sheetId="4" r:id="rId8"/>
    <sheet state="visible" name="Chi_Tiet_SanPham_PDP" sheetId="5" r:id="rId9"/>
    <sheet state="visible" name="Tra_Cuu_Hoat_Chat" sheetId="6" r:id="rId10"/>
    <sheet state="visible" name="Dai_Ly_B2B_Distribution" sheetId="7" r:id="rId11"/>
    <sheet state="visible" name="Blog" sheetId="8" r:id="rId12"/>
    <sheet state="visible" name="Chi_Tiet_Blog" sheetId="9" r:id="rId13"/>
    <sheet state="visible" name="Dat_Lich_Hen" sheetId="10" r:id="rId14"/>
    <sheet state="visible" name="Tra_Cuu_Don_Hang" sheetId="11" r:id="rId15"/>
  </sheets>
  <definedNames/>
  <calcPr/>
</workbook>
</file>

<file path=xl/sharedStrings.xml><?xml version="1.0" encoding="utf-8"?>
<sst xmlns="http://schemas.openxmlformats.org/spreadsheetml/2006/main" count="1044" uniqueCount="916">
  <si>
    <t>KIẾN TRÚC TỔNG THỂ &amp; DANH MỤC PHÂN HỆ B2B/B2C PORTAL</t>
  </si>
  <si>
    <t>Section_ID</t>
  </si>
  <si>
    <t>QUY CHUẨN THIẾT KẾ (DESIGN SYSTEM) &amp; BỐ CỤC KIẾN TRÚC GIAO DIỆN Y KHOA</t>
  </si>
  <si>
    <t>Section_Name</t>
  </si>
  <si>
    <t>Hệ Thống Dược Mỹ Phẩm Chính Hãng Chuẩn Y Khoa &amp; Phân Phối GSP/GDP</t>
  </si>
  <si>
    <t>TỔNG PHÂN HỆ HỆ THỐNG</t>
  </si>
  <si>
    <t>Layout_Hierarchy</t>
  </si>
  <si>
    <t>Business_Purpose</t>
  </si>
  <si>
    <t>Feature_Specifications</t>
  </si>
  <si>
    <t>TỔNG SECTION ĐẶC TẢ</t>
  </si>
  <si>
    <t>Processing_Logic_Constraints</t>
  </si>
  <si>
    <t>Data_Source_Origin</t>
  </si>
  <si>
    <t>Agent_Audit_Rules (Meta-Skill V6.0)</t>
  </si>
  <si>
    <t>Agent_Refix_Acceptance_Criteria</t>
  </si>
  <si>
    <t>TIÊU CHUẨN P0 BẮT BUỘC</t>
  </si>
  <si>
    <t>Chuẩn Hóa Từ Giao Diện Mẫu blog.html (Figma Node 351-2 / 351-93 / 351-180) • Nền Tảng Dược Mỹ Phẩm &amp; Lâm Sàng</t>
  </si>
  <si>
    <t>SEC-COL-01</t>
  </si>
  <si>
    <t>Breadcrumbs Navigation</t>
  </si>
  <si>
    <t>Top Header Sub-bar</t>
  </si>
  <si>
    <t>Định vị cấu trúc phân cấp website và tối ưu chỉ mục tìm kiếm BreadcrumbList</t>
  </si>
  <si>
    <t>Thanh điều hướng: Trang Chủ &gt; Dược Mỹ Phẩm &gt; [Tên Danh Mục] &gt; [Nhóm Hoạt Chất]; Thẻ span không click cho phần tử cuối cùng</t>
  </si>
  <si>
    <t>Tự động render phân cấp dựa trên cấu trúc thư mục URL của Hugo (.Ancestors); Thuộc tính aria-label=breadcrumb</t>
  </si>
  <si>
    <t>Hugo .Ancestors hierarchy &amp; layouts/partials/breadcrumbs.html</t>
  </si>
  <si>
    <t>TỔNG COLOR DESIGN TOKENS</t>
  </si>
  <si>
    <t>P1 Semantic SEO: Bắt buộc nhúng mã JSON-LD Schema BreadcrumbList chuẩn Google Structured Data</t>
  </si>
  <si>
    <t>Đạt 100% hợp lệ trên Google Rich Results Test; Không hiển thị link gãy hoặc trang rỗng</t>
  </si>
  <si>
    <t>SEC-COL-02</t>
  </si>
  <si>
    <t>Multi-faceted Sticky Sidebar Filter</t>
  </si>
  <si>
    <t>SEC-HP-00</t>
  </si>
  <si>
    <t>Left Aside Sticky (280px)</t>
  </si>
  <si>
    <t>Cho phép người dùng lọc sản phẩm đa chiều theo tiêu chí y khoa chính xác</t>
  </si>
  <si>
    <t>4 Accordion lọc: (1) Nhóm hoạt chất, (2) Vấn đề da, (3) Thương hiệu (72+ brands), (4) Mức giá; Nút Xóa bộ lọc</t>
  </si>
  <si>
    <t>Cập nhật danh sách bằng Alpine.js / URLSearchParams không reload trang; Đếm số lượng SKU khả dụng; Lưu URL query param</t>
  </si>
  <si>
    <t>layouts/partials/aside-filter.html &amp; content/products/*.md</t>
  </si>
  <si>
    <t>Anti-Pattern Gate: CẤM TUYỆT ĐỐI tag rác từ theme cũ (màu áo vàng/đỏ, kích cỡ 32inch/49inch); Chỉ dùng từ khóa da liễu thực</t>
  </si>
  <si>
    <t>Bộ lọc tương thích mobile dạng Drawer trượt cạnh; Trạng thái lọc phản ánh chính xác lên URL để bookmark</t>
  </si>
  <si>
    <t>SEC-COL-03</t>
  </si>
  <si>
    <t>Sorting &amp; View Density Toolbar</t>
  </si>
  <si>
    <t>Top Content Row</t>
  </si>
  <si>
    <t>Tùy biến sắp xếp và mật độ hiển thị theo thói quen duyệt web của khách hàng</t>
  </si>
  <si>
    <t>Dropdown chọn sắp xếp: Mới nhất, Bán chạy, Giá tăng/giảm, Tên A-Z; Nút chuyển Grid (3/4 cột) và List view</t>
  </si>
  <si>
    <t>Lưu trạng thái View Mode vào localStorage; Dropdown hỗ trợ phím Tab và Enter chuẩn trợ năng</t>
  </si>
  <si>
    <t>layouts/partials/sort-toolbar.html</t>
  </si>
  <si>
    <t>P2 Accessibility: Đạt tiêu chuẩn WCAG 2.1 AA về điều hướng bàn phím cho toàn bộ dropdown và button</t>
  </si>
  <si>
    <t>Chuyển đổi Grid/List mượt mà; Sort logic xử lý chính xác theo trường dữ liệu số price number không lỗi sort chuỗi</t>
  </si>
  <si>
    <t>SEC-COL-04</t>
  </si>
  <si>
    <t>Product Grid Display</t>
  </si>
  <si>
    <t>Main Center Container</t>
  </si>
  <si>
    <t>Trình bày danh sách sản phẩm theo kết quả lọc với hiệu năng tải cao</t>
  </si>
  <si>
    <t>Lưới 3 hoặc 4 cột; Card: Khung ảnh 1:1, Badge thương hiệu, Tên sản phẩm, Nồng độ hoạt chất, Giá bán, Nút Quick View và Thêm vào báo giá</t>
  </si>
  <si>
    <t>Lazy loading hình ảnh; Cố định khung chứa ảnh bằng aspect-ratio: 1/1 chống giật layout; Phân trang chuẩn 12/24 sản phẩm</t>
  </si>
  <si>
    <t>layouts/partials/product-grid.html</t>
  </si>
  <si>
    <t>P1 Web Performance: Ngăn ngừa hiện tượng Cumulative Layout Shift (CLS = 0); Ảnh nén WebP/AVIF dung lượng &lt; 80KB</t>
  </si>
  <si>
    <t>Tốc độ hiển thị lưới sản phẩm &lt; 150ms; Hiển thị Empty State lịch sự và nút Đặt lại bộ lọc khi 0 kết quả</t>
  </si>
  <si>
    <t>SEC-COL-05</t>
  </si>
  <si>
    <t>Quick View Modal</t>
  </si>
  <si>
    <t>Overlay Pop-up Container</t>
  </si>
  <si>
    <t>Cho phép xem nhanh nồng độ hoạt chất và thông số sản phẩm mà không rời trang</t>
  </si>
  <si>
    <t>Modal popup: Gallery ảnh zoom, Tóm tắt công dụng, Bảng nồng độ hoạt chất, Dung tích tùy chọn (30ml, 50ml), Chọn số lượng, Nút Xem chi tiết</t>
  </si>
  <si>
    <t>Nhấn phím ESC để đóng modal; Trap focus bàn phím bên trong modal khi đang mở; Khóa cuộn trang nền body overflow: hidden</t>
  </si>
  <si>
    <t>layouts/partials/quick-view-modal.html</t>
  </si>
  <si>
    <t>P1 Usability: Không làm mất trạng thái lọc của trang danh mục khi đóng mở Quick View Modal</t>
  </si>
  <si>
    <t>Focus tự động quay lại nút kích hoạt sau khi đóng modal; Hoạt động trơn tru trên màn hình cảm ứng di động</t>
  </si>
  <si>
    <t>HỆ THỐNG TYPOGRAPHY &amp; LƯỚI</t>
  </si>
  <si>
    <t>Header &amp; Navigation Utilities</t>
  </si>
  <si>
    <t>COMPONENT ĐẶC TẢ Y KHOA</t>
  </si>
  <si>
    <t>Top Fixed Sticky Bar</t>
  </si>
  <si>
    <t>16 Nhóm Màu</t>
  </si>
  <si>
    <t>Điều hướng toàn diện, tăng tỷ lệ chuyển đổi và quản lý giỏ hàng nhanh</t>
  </si>
  <si>
    <t>Mega Menu đa cấp; Thanh Smart Search Autocomplete (theo SKU, tên, hoạt chất); Bộ chọn ngôn ngữ &amp; Dịch thuật đa ngữ (Google Translate Widget); Mini Cart giỏ hàng nhanh; Khối Đăng nhập/Đăng ký &amp; Điểm thưởng B2B/B2C</t>
  </si>
  <si>
    <t>Debounce tìm kiếm 250ms; Tích hợp Google Translate Element API; Lưu ngôn ngữ lựa chọn vào cookie/localStorage (googtrans); Ghim sticky khi cuộn trang; Cập nhật số lượng giỏ hàng realtime qua Sapo API</t>
  </si>
  <si>
    <t>sapo/menus.json &amp; sapo/cart_state</t>
  </si>
  <si>
    <t>P0 UX: Luôn hiển thị giỏ hàng &amp; hotline cấp cứu da liễu; Không che khuất nội dung khi cuộn</t>
  </si>
  <si>
    <t>2 Font / 3 Cấp Lưới</t>
  </si>
  <si>
    <t>Tốc độ mở Mini Cart &lt; 100ms; Tìm kiếm hiển thị kết quả đúng sau 3 ký tự</t>
  </si>
  <si>
    <t>9 Component P0</t>
  </si>
  <si>
    <t>Mã Phân Hệ</t>
  </si>
  <si>
    <t>SEC-HP-01</t>
  </si>
  <si>
    <t>Hero Banner Chuyển Động</t>
  </si>
  <si>
    <t>Top Full-width Container</t>
  </si>
  <si>
    <t>Định vị thương hiệu Dược mỹ phẩm chính hãng &amp; Cam kết GSP/GDP</t>
  </si>
  <si>
    <t>Slider 3 slides tự động chuyển 5s kèm nút Pause; Nút CTA chính Khám phá sản phẩm và Hợp tác đại lý B2B; Thống kê 72+ brand</t>
  </si>
  <si>
    <t>Tự động dừng khi hover/focus; Lazy-load ảnh; Hỗ trợ WebP/AVIF; Tỷ lệ 16:9 desktop sang 4:5 mobile</t>
  </si>
  <si>
    <t>Nhóm Mã Màu</t>
  </si>
  <si>
    <t>data/homepage/hero.json &amp; Hugo frontmatter</t>
  </si>
  <si>
    <t>Tên Phân Hệ &amp; Phạm Vi Nghiệp Vụ</t>
  </si>
  <si>
    <t>P0 Legal: Cấm từ ngữ quảng cáo thổi phồng như thần dược, trị dứt điểm; Tuân thủ quy định quảng cáo &amp; tiêu chuẩn công bố mỹ phẩm</t>
  </si>
  <si>
    <t>Biến CSS Token</t>
  </si>
  <si>
    <t>LCP &lt; 1.2s; CLS = 0; 100% link CTA điều hướng đúng; Đạt chuẩn WCAG AA tương phản &gt;= 4.5:1</t>
  </si>
  <si>
    <t>Mã Hex</t>
  </si>
  <si>
    <t>Truy Cập Phân Hệ</t>
  </si>
  <si>
    <t>Mẫu Màu Trực Quan</t>
  </si>
  <si>
    <t>Số Section</t>
  </si>
  <si>
    <t>Tên Màu Quy Chuẩn</t>
  </si>
  <si>
    <t>SEC-HP-02</t>
  </si>
  <si>
    <t>Quy Chuẩn P0</t>
  </si>
  <si>
    <t>Phạm Vi &amp; Vai Trò Áp Dụng Chuẩn Y Khoa</t>
  </si>
  <si>
    <t>Trạng Thái Kiến Trúc</t>
  </si>
  <si>
    <t>Value Proposition (Giá Trị Cốt Lõi)</t>
  </si>
  <si>
    <t>Body Top (Grid 4 cột)</t>
  </si>
  <si>
    <t>Củng cố niềm tin khách hàng vào tiêu chuẩn phân phối Dược mỹ phẩm y khoa</t>
  </si>
  <si>
    <t>4 Card icon vector: 100% Chính Hãng Tem Phụ, Thẩm Định Lâm Sàng, Vận Chuyển Nhiệt Độ Chuẩn GSP (15-25°C), Đổi Trả 7 Ngày</t>
  </si>
  <si>
    <t>Brand Primary Main</t>
  </si>
  <si>
    <t>Hover hiệu ứng nâng thẻ translateY(-4px) viền emerald; Responsive 4 cột sang 2 cột tablet và 1 cột mobile</t>
  </si>
  <si>
    <t>data/homepage/values.yaml</t>
  </si>
  <si>
    <t>P1 System Integrity: Dùng SVG inline hoặc sprite, cấm dùng ảnh bitmap mờ; Đảm bảo semantic HTML thẻ section và article</t>
  </si>
  <si>
    <t>Hiển thị đúng 4 cột trên 1280px; 100% icon sắc nét trên màn Retina; Không lỗi console</t>
  </si>
  <si>
    <t>MOD-01</t>
  </si>
  <si>
    <t>SEC-HP-03</t>
  </si>
  <si>
    <t>Brand Carousel (Đối Tác Nhãn Hàng)</t>
  </si>
  <si>
    <t>Full-width Infinite Carousel</t>
  </si>
  <si>
    <t>Trình diễn 72+ thương hiệu dược mỹ phẩm hàng đầu quốc tế đã ký kết phân phối</t>
  </si>
  <si>
    <t>--color-brand-primary</t>
  </si>
  <si>
    <t>Dải logo thương hiệu cuộn liên tục vô tận (Theramid, Transparent Lab, Care:nel...); Click logo dẫn tới Catalog lọc theo Brand</t>
  </si>
  <si>
    <t>Trang Chủ Portal (Homepage &amp; Landing)</t>
  </si>
  <si>
    <t>Tự động dừng animation khi hover chuột hoặc chạm tay; Alt ảnh chứa tên thương hiệu đầy đủ; Chạy mượt mà 60 FPS</t>
  </si>
  <si>
    <t>data/brands.json &amp; static/images/brands/</t>
  </si>
  <si>
    <t>Anti-Gaming Rule: Không hard-code URL ảnh bên ngoài; Toàn bộ ảnh logo quản lý nội bộ trong static/ hoặc assets/</t>
  </si>
  <si>
    <t>#3CB371</t>
  </si>
  <si>
    <t>Logo đơn sắc hoặc đúng chuẩn nhận diện brand; Không méo tỷ lệ; Tải bất đồng bộ loading=lazy</t>
  </si>
  <si>
    <t>SEC-HP-04</t>
  </si>
  <si>
    <t>Featured Category Tabs</t>
  </si>
  <si>
    <t>Content Center (Grid 6 cột)</t>
  </si>
  <si>
    <t>Phân loại nhanh sản phẩm theo tư vấn da liễu chuyên sâu của Chuyên gia</t>
  </si>
  <si>
    <t>Tab chuyển đổi: Mụn Viêm &amp; Dầu Thừa, Thâm Nám, Phục Hồi Treatment, Chống Lão Hóa, Chống Nắng, Làm Sạch; Badge đếm SKU</t>
  </si>
  <si>
    <t>■ #3CB371</t>
  </si>
  <si>
    <t>Chuyển tab bằng Alpine.js / Vanilla JS không reload trang; Đồng bộ active tab vào URL hash; Animation fade-in 200ms</t>
  </si>
  <si>
    <t>content/categories/_index.md</t>
  </si>
  <si>
    <t>P0 Architecture: Phân tách rạch ròi danh mục Dược mỹ phẩm bôi thoa vs Dịch vụ y tế phòng khám; Không trộn thủ thuật vào đây</t>
  </si>
  <si>
    <t>Thời gian phản hồi khi click tab &lt; 50ms; Badge số SKU hiển thị chính xác với dữ liệu thực</t>
  </si>
  <si>
    <t>SEC-HP-05</t>
  </si>
  <si>
    <t>Clinical Product Grid</t>
  </si>
  <si>
    <t>Main Grid (4 cột x 2 hàng)</t>
  </si>
  <si>
    <t>Giới thiệu 8 sản phẩm bán chạy nhất có đầy đủ nghiên cứu lâm sàng</t>
  </si>
  <si>
    <t>Card sản phẩm: Ảnh 1:1, Nhãn hiệu, Tên sản phẩm, Nồng độ hoạt chất (Azelaic 15%), Giá niêm yết VND, Badge chứng nhận, Nút Xem Chi Tiết</t>
  </si>
  <si>
    <t>Hover hiển thị ảnh thứ 2 (Texture chất kem/serum); Ẩn nút đặt hàng nếu tồn kho = 0; Định dạng tiền tệ VND chuẩn (850.000 đ)</t>
  </si>
  <si>
    <t>content/products/*.md (Hugo Frontmatter)</t>
  </si>
  <si>
    <t>P1 Integrity: Giá sản phẩm phải đồng bộ chính xác với giá niêm yết NSX; Cấm tự tạo giá ảo hoặc giảm giá quá 50%</t>
  </si>
  <si>
    <t>Schema.org Product &amp; Offer structured data hợp lệ 100% trên Google Rich Results; Khung ảnh contain không méo</t>
  </si>
  <si>
    <t>SEC-HP-06</t>
  </si>
  <si>
    <t>Medical Ingredients Explorer</t>
  </si>
  <si>
    <t>Split Screen Section</t>
  </si>
  <si>
    <t>Giáo dục người tiêu dùng về hoạt chất y khoa và cơ chế tác động sinh học</t>
  </si>
  <si>
    <t>Medium Sea Green (Clinical Primary)</t>
  </si>
  <si>
    <t>Màu thương hiệu chính: Logo, thanh Topbar, Master Footer, nút CTA chính &amp; nhận diện chủ đạo toàn hệ thống</t>
  </si>
  <si>
    <t>Ô tìm kiếm Autocomplete hoạt chất (Retinol, BHA, Niacinamide...); Bảng tóm tắt công năng, nồng độ an toàn; Nút dẫn sang /ingredients/</t>
  </si>
  <si>
    <t>Brand Primary</t>
  </si>
  <si>
    <t>Debounce tìm kiếm 300ms; Lọc theo nhóm công dụng (Kháng viêm, Tái tạo, Ức chế melanin); Highlight từ khóa tìm kiếm</t>
  </si>
  <si>
    <t>--color-brand-green</t>
  </si>
  <si>
    <t>data/ingredients_summary.json</t>
  </si>
  <si>
    <t>#267348</t>
  </si>
  <si>
    <t>P0 Medical Safety: Nồng độ tối đa hiển thị phải tuân thủ Hiệp định Mỹ phẩm ASEAN và Dược điển Việt Nam</t>
  </si>
  <si>
    <t>Autocomplete phản hồi &lt; 30ms; 100% hoạt chất tra cứu có dẫn chứng cơ chế khoa học rõ ràng</t>
  </si>
  <si>
    <t>SEC-HP-07</t>
  </si>
  <si>
    <t>■ #267348</t>
  </si>
  <si>
    <t>B2B Distribution CTA &amp; Compliance</t>
  </si>
  <si>
    <t>Pre-footer Full Banner</t>
  </si>
  <si>
    <t>Thu hút đối tác B2B (Nhà thuốc, Spa thẩm mỹ, Cơ sở chăm sóc da, Chuyên gia da liễu)</t>
  </si>
  <si>
    <t>Form đăng ký đại lý: Tên đơn vị, Mã số thuế, Người liên hệ, SĐT, Email, Tỉnh/TP; Nút Gửi Hồ Sơ Đại Lý; Khối chứng nhận GSP/GDP</t>
  </si>
  <si>
    <t>Validate định dạng SĐT Việt Nam regex ^(0[3|5|7|8|9])+([0-9]{8})$; Mã hóa dữ liệu form gửi về webhook; Toast thành công</t>
  </si>
  <si>
    <t>data/compliance_certs.json &amp; layouts/b2b/form.html</t>
  </si>
  <si>
    <t>Clinical Jade Green</t>
  </si>
  <si>
    <t>P0 Privacy: Tuân thủ Luật Bảo vệ dữ liệu cá nhân 91/2025/QH15; Bắt buộc có checkbox đồng ý điều khoản dữ liệu</t>
  </si>
  <si>
    <t>Màu thương hiệu phụ / nhánh lâm sàng, nút CTA phụ, tiêu đề chuyên mục, thanh tiến trình đọc</t>
  </si>
  <si>
    <t>Bảo mật CSRF token hợp lệ; Phản hồi gửi form thành công &lt; 1s; Dữ liệu lưu vết có log thời gian</t>
  </si>
  <si>
    <t>SEC-HP-08</t>
  </si>
  <si>
    <t>Flash Sale &amp; Promotional Hub</t>
  </si>
  <si>
    <t>Body Middle (Grid 4 cột + Timer)</t>
  </si>
  <si>
    <t>--color-brand-dark</t>
  </si>
  <si>
    <t>Thúc đẩy chuyển đổi nhanh và kích cầu các sản phẩm cận date/ưu đãi mùa</t>
  </si>
  <si>
    <t>#166B55</t>
  </si>
  <si>
    <t>Đồng hồ đếm ngược (Countdown Timer); Lưới sản phẩm Flash Sale; Thanh tiến độ tồn kho ("Đã bán x%"); Bộ sưu tập Voucher/Coupon lưu nhanh</t>
  </si>
  <si>
    <t>Tự động ẩn khi hết thời gian chạy deal; Giới hạn mỗi tài khoản mua tối đa 3 sản phẩm/đơn; Đồng bộ tồn kho tức thời</t>
  </si>
  <si>
    <t>sapo/promotions/flash_sale.json</t>
  </si>
  <si>
    <t>P1 Integrity: Giá khuyến mãi không được vượt quá quy định khuyến mại của Sở Công Thương (tối đa 50%)</t>
  </si>
  <si>
    <t>■ #166B55</t>
  </si>
  <si>
    <t>Timer đồng bộ chuẩn NTP Server; Tự động cập nhật trạng thái "Hết hàng"</t>
  </si>
  <si>
    <t>Medical Emerald Teal</t>
  </si>
  <si>
    <t>SEC-HP-09</t>
  </si>
  <si>
    <t>Chữ thương hiệu logo (PHARMA COSMETICS), tiêu đề Big Hero banner, viền box y khoa, trạng thái hover</t>
  </si>
  <si>
    <t>Medical Blog &amp; Social Proof</t>
  </si>
  <si>
    <t>Content Center (Split 2 cột: Blog + Reviews)</t>
  </si>
  <si>
    <t>Tăng độ uy tín (Trust Factor) và tối ưu hóa SEO tự nhiên từ kiến thức da liễu</t>
  </si>
  <si>
    <t>--color-brand-deep</t>
  </si>
  <si>
    <t>Lưới 3 bài viết chuyên gia da liễu mới nhất; Khối trích dẫn đánh giá thực tế từ Chuyên gia/KOL và hình ảnh kiểm chứng Before/After</t>
  </si>
  <si>
    <t>#0F2318</t>
  </si>
  <si>
    <t>Hỗ trợ phân trang blog; Đánh giá sao (Rating Schema); Lọc feedback theo từng tình trạng da (Mụn, Nám)</t>
  </si>
  <si>
    <t>content/blog/*.md &amp; data/testimonials.json</t>
  </si>
  <si>
    <t>P0 Medical Compliance: Hình ảnh Before/After phải có cam kết bản quyền và không chỉnh sửa sai lệch</t>
  </si>
  <si>
    <t>Schema Review và Article đạt chuẩn 100% Rich Snippet Google</t>
  </si>
  <si>
    <t>■ #0F2318</t>
  </si>
  <si>
    <t>SEC-HP-10</t>
  </si>
  <si>
    <t>Full Footer &amp; Floating Support Hub</t>
  </si>
  <si>
    <t>Pine Dark Green</t>
  </si>
  <si>
    <t>Bottom Full-width + Sticky Widget</t>
  </si>
  <si>
    <t>Nền banner tư vấn Chuyên gia, khối Zalo QR tư vấn, các khối nền tối tương phản cao</t>
  </si>
  <si>
    <t>Hoàn thiện pháp lý TMĐT, tra cứu cơ sở và hỗ trợ đa kênh tức thì</t>
  </si>
  <si>
    <t>Brand Mint</t>
  </si>
  <si>
    <t>--color-brand-mint-light</t>
  </si>
  <si>
    <t>Footer 4 cột (Về chúng tôi, Chính sách vận chuyển/đổi trả, Cổng thanh toán &amp; Vận chuyển, Hệ thống cơ sở/Showroom); Badge Bộ Công Thương; Floating widget (Zalo OA, Hotline)</t>
  </si>
  <si>
    <t>#D7F3E3</t>
  </si>
  <si>
    <t>Click gọi hotline ngay trên mobile; Mở widget Zalo không reload trang; Tra cứu nhanh địa chỉ cơ sở</t>
  </si>
  <si>
    <t>data/company_info.json &amp; sapo/stores.json</t>
  </si>
  <si>
    <t>P0 Legal: Bắt buộc có thông tin GPKD, MST, Badge Bộ Công Thương hợp lệ theo Nghị định 52/2013/NĐ-CP</t>
  </si>
  <si>
    <t>Click liên hệ mở đúng App trong &lt; 1s; Toàn bộ liên kết chính sách hoạt động 100%</t>
  </si>
  <si>
    <t>■ #D7F3E3</t>
  </si>
  <si>
    <t>SEC-HP-11</t>
  </si>
  <si>
    <t>Soft Mint Light</t>
  </si>
  <si>
    <t>Đường phân cách TOC, nền thẻ phác đồ điều trị, card placeholder</t>
  </si>
  <si>
    <t>--color-brand-mint-subtle</t>
  </si>
  <si>
    <t>Google Translate &amp; Multilingual Switcher (Tiện Ích Dịch Thuật)</t>
  </si>
  <si>
    <t>#E8F8EE</t>
  </si>
  <si>
    <t>■ #E8F8EE</t>
  </si>
  <si>
    <t>Top Bar Utility / Floating Widget (Góc phải màn hình)</t>
  </si>
  <si>
    <t>Subtle Mint Wash</t>
  </si>
  <si>
    <t>Hỗ trợ khách hàng quốc tế, chuyên gia nước ngoài và đối tác B2B đa quốc gia dễ dàng tiếp cận thông tin sản phẩm và nghiên cứu y khoa</t>
  </si>
  <si>
    <t>Gradient nền khối Hero Big Card, viền thẻ chuyên gia lâm sàng</t>
  </si>
  <si>
    <t>Dropdown chọn nhanh ngôn ngữ (Tiếng Việt, English, 한국어, 日本語, 中文,...); Tự động nhận diện ngôn ngữ trình duyệt; Khối dịch Google Translate Widget chuẩn; Nút khôi phục ngôn ngữ gốc (Reset Original)</t>
  </si>
  <si>
    <t>Medical Badge</t>
  </si>
  <si>
    <t>Tích hợp script Google Translate ([link removed]); Lưu trạng thái ngôn ngữ vào cookie/localStorage; Tránh dịch đè lên các thẻ bảo vệ thuật ngữ y khoa chuyên biệt (class="notranslate"); Async/defer script không làm chậm LCP</t>
  </si>
  <si>
    <t>--color-badge-green</t>
  </si>
  <si>
    <t>Google Translate Element API &amp; config/languages.json</t>
  </si>
  <si>
    <t>#E8F5E9</t>
  </si>
  <si>
    <t>P0 UX &amp; Localization: Không che khuất các nút CTA chính và hotline; Bắt buộc thêm class 'notranslate' cho tên thương hiệu, mã SKU và nồng độ hoạt chất y khoa để tránh dịch sai lệch</t>
  </si>
  <si>
    <t>Thời gian tải widget không ảnh hưởng Core Web Vitals (TBT tăng &lt; 50ms); Đổi ngôn ngữ mượt mà không vỡ layout; Tên thương hiệu và hoạt chất y khoa được giữ nguyên chuẩn xác</t>
  </si>
  <si>
    <t>■ #E8F5E9</t>
  </si>
  <si>
    <t>Pharmacy Light Green</t>
  </si>
  <si>
    <t>Badge Đã điều trị theo phác đồ, Tag chuyên môn P0, Badge nguồn bài viết</t>
  </si>
  <si>
    <t>Accent Gold</t>
  </si>
  <si>
    <t>--color-gold-sand</t>
  </si>
  <si>
    <t>#DFBA73</t>
  </si>
  <si>
    <t>■ #DFBA73</t>
  </si>
  <si>
    <t>Medical Gold Sand</t>
  </si>
  <si>
    <t>Gradient thanh tiến trình đọc, viền card lâm sàng tiêu điểm</t>
  </si>
  <si>
    <t>SEC-PDP-01</t>
  </si>
  <si>
    <t>--color-gold-dark</t>
  </si>
  <si>
    <t>#B8860B</t>
  </si>
  <si>
    <t>Product Hero &amp; Purchasing Section</t>
  </si>
  <si>
    <t>■ #B8860B</t>
  </si>
  <si>
    <t>Top Split (Trái 55%, Phải 45%)</t>
  </si>
  <si>
    <t>Trình diễn hình ảnh chi tiết và hỗ trợ quyết định mua hàng/đặt hàng chính hãng</t>
  </si>
  <si>
    <t>Gallery ảnh lớn kèm thumbnail; Zoom ảnh khi hover; Badge chứng nhận GSP; Tên, SKU, Thương hiệu, Nồng độ %, Giá niêm yết, Chọn dung tích, Nút Đặt Hàng &amp; Tư Vấn</t>
  </si>
  <si>
    <t>Đồng bộ thumbnail với ảnh chính; Cập nhật giá động theo variants; Kiểm tra tồn kho trước khi kích hoạt nút đặt hàng</t>
  </si>
  <si>
    <t>content/products/*.md (Variants Frontmatter)</t>
  </si>
  <si>
    <t>P0 Legal: Bắt buộc hiển thị số tiếp nhận phiếu công bố mỹ phẩm chuẩn hóa theo quy định quản lý mỹ phẩm</t>
  </si>
  <si>
    <t>100% ảnh zoom sắc nét; Thông tin phân loại dung tích hiển thị rõ ràng; Không lỗi giá 0đ hoặc giá trống</t>
  </si>
  <si>
    <t>SEC-PDP-02</t>
  </si>
  <si>
    <t>Active Ingredients Science Table</t>
  </si>
  <si>
    <t>Dark Ochre Gold</t>
  </si>
  <si>
    <t>Middle Full Container</t>
  </si>
  <si>
    <t>Avatar chuyên gia sắc tố, thẻ Mini Card Chống Nắng Vật Lý</t>
  </si>
  <si>
    <t>Accent Peach</t>
  </si>
  <si>
    <t>--color-peach</t>
  </si>
  <si>
    <t>Công bố minh bạch thành phần hoạt tính và cơ chế khoa học chuẩn da liễu</t>
  </si>
  <si>
    <t>#D79A7D</t>
  </si>
  <si>
    <t>Bảng chi tiết: Tên hoạt chất quốc tế (INCI), Nồng độ %, Độ pH sản phẩm, Nhóm công năng chính, Cơ chế sinh học tác động lên da</t>
  </si>
  <si>
    <t>■ #D79A7D</t>
  </si>
  <si>
    <t>Bảng hỗ trợ cuộn ngang trên di động có chỉ báo; Chú thích liên kết trực tiếp sang thư viện hoạt chất /ingredients/</t>
  </si>
  <si>
    <t>content/products/*.md (ingredients metadata)</t>
  </si>
  <si>
    <t>P1 Integrity: Dữ liệu nồng độ % và pH phải lấy chuẩn 100% từ hồ sơ kỹ thuật NSX (COA), nghiêm cấm tự suy diễn nồng độ</t>
  </si>
  <si>
    <t>Warm Derma Peach</t>
  </si>
  <si>
    <t>Khối Video Hub Quy trình trị da, điểm nhấn tông màu phục hồi biểu bì</t>
  </si>
  <si>
    <t>Bảng hiển thị responsive mượt mà; Chữ không bị tràn khung trên màn hình 360px</t>
  </si>
  <si>
    <t>--color-peach-light</t>
  </si>
  <si>
    <t>#F6E3D8</t>
  </si>
  <si>
    <t>SEC-PDP-03</t>
  </si>
  <si>
    <t>3 Clinical Decision Stories</t>
  </si>
  <si>
    <t>■ #F6E3D8</t>
  </si>
  <si>
    <t>Middle Storytelling Container</t>
  </si>
  <si>
    <t>Cung cấp luận chứng lâm sàng thuyết phục theo khung GEO SEO &amp; High-Conversion</t>
  </si>
  <si>
    <t>3 Câu chuyện quyết định: (1) Tại sao Chuyên gia chọn hoạt chất này, (2) Khắc phục rào cản kích ứng da nhạy cảm ra sao, (3) Thực chứng lâm sàng tại cơ sở</t>
  </si>
  <si>
    <t>Soft Peach Tint</t>
  </si>
  <si>
    <t>Cấu trúc Typography phân cấp rõ ràng (H3, trích dẫn chuyên môn chuyên gia, số liệu nghiên cứu cụ thể); Chuẩn AI crawling</t>
  </si>
  <si>
    <t>Nền icon thử nghiệm lâm sàng, nền ảnh thẻ bài viết chuyên gia</t>
  </si>
  <si>
    <t>layouts/partials/decision-stories.html</t>
  </si>
  <si>
    <t>Neutral Dark</t>
  </si>
  <si>
    <t>--color-text-main</t>
  </si>
  <si>
    <t>Zero Hallucination: Không sử dụng số liệu phần trăm ảo khi mẫu thử nhỏ (N &lt; 30); Tránh các từ ngữ sáo rỗng vô căn cứ</t>
  </si>
  <si>
    <t>#13241F</t>
  </si>
  <si>
    <t>Cấu trúc thẻ HTML chuẩn ngữ nghĩa giúp AI Search Engines (Perplexity, ChatGPT, Gemini) dễ dàng trích xuất dữ liệu</t>
  </si>
  <si>
    <t>■ #13241F</t>
  </si>
  <si>
    <t>SEC-PDP-04</t>
  </si>
  <si>
    <t>Usage Protocol &amp; Contraindications</t>
  </si>
  <si>
    <t>Deep Charcoal Green</t>
  </si>
  <si>
    <t>Two-column Grid Container</t>
  </si>
  <si>
    <t>Hướng dẫn phác đồ sử dụng an toàn và cảnh báo chống chỉ định bắt buộc</t>
  </si>
  <si>
    <t>Màu chữ tiêu đề chính H1/H2, tên bài viết, nhãn form, văn bản quan trọng</t>
  </si>
  <si>
    <t>Cột trái: Phác đồ sáng/tối, thứ tự layer các bước; Cột phải: Chống chỉ định y khoa, lưu ý chống nắng, hiện tượng purging vs breakout</t>
  </si>
  <si>
    <t>Neutral Body</t>
  </si>
  <si>
    <t>Box cảnh báo chống chỉ định dùng tone màu vàng hổ phách y tế nổi bật; Thẻ icon cảnh báo rõ ràng</t>
  </si>
  <si>
    <t>--color-text-body</t>
  </si>
  <si>
    <t>content/products/*.md (usage &amp; safety)</t>
  </si>
  <si>
    <t>#334155</t>
  </si>
  <si>
    <t>P0 Medical Safety: Cảnh báo bắt buộc đối với phụ nữ mang thai nếu sản phẩm chứa Retinoids, Hydroquinone hoặc BHA nồng độ cao</t>
  </si>
  <si>
    <t>Đạt chuẩn cảnh báo an toàn y tế; Phân biệt rõ ràng giữa hướng dẫn thông thường và lưu ý bắt buộc</t>
  </si>
  <si>
    <t>■ #334155</t>
  </si>
  <si>
    <t>SEC-PDP-05</t>
  </si>
  <si>
    <t>Slate Body Text</t>
  </si>
  <si>
    <t>Nội dung bài viết y khoa, mô tả chi tiết phác đồ, đánh giá khách hàng</t>
  </si>
  <si>
    <t>Batch Verification &amp; Storage Standards</t>
  </si>
  <si>
    <t>Neutral Muted</t>
  </si>
  <si>
    <t>--color-text-muted</t>
  </si>
  <si>
    <t>#64748B</t>
  </si>
  <si>
    <t>Accordion Full-width Container</t>
  </si>
  <si>
    <t>■ #64748B</t>
  </si>
  <si>
    <t>Minh bạch tiêu chuẩn lưu trữ kho GSP và hướng dẫn kiểm tra hàng thật</t>
  </si>
  <si>
    <t>Hướng dẫn quét mã QR tem chống giả Bộ Công An; Điều kiện bảo quản nhiệt độ chuẩn (15-25°C, độ ẩm &lt; 70%); Hạn dùng sau mở nắp (PAO); Hotline tiếp nhận phản hồi</t>
  </si>
  <si>
    <t>Slate Muted Gray</t>
  </si>
  <si>
    <t>Hiệu ứng toggle accordion đóng mở mượt mà; Chứa hotline tư vấn trực tiếp của Dược sĩ phụ trách chuyên môn</t>
  </si>
  <si>
    <t>Ngày xuất bản, thời lượng đọc, tên tác giả phụ, chú thích lâm sàng</t>
  </si>
  <si>
    <t>data/storage_standards.yaml</t>
  </si>
  <si>
    <t>Neutral Border</t>
  </si>
  <si>
    <t>P0 Compliance: Minh bạch pháp nhân nhập khẩu và phân phối độc quyền tại Việt Nam theo Nghị định 43/2017/NĐ-CP về nhãn hàng hóa</t>
  </si>
  <si>
    <t>--color-border</t>
  </si>
  <si>
    <t>#E2E8F0</t>
  </si>
  <si>
    <t>Accordion hỗ trợ bàn phím; Tải ảnh hướng dẫn quét tem rõ nét; Hotline dạng link bấm gọi điện được tel:...</t>
  </si>
  <si>
    <t>■ #E2E8F0</t>
  </si>
  <si>
    <t>Clinical Light Border</t>
  </si>
  <si>
    <t>Đường kẻ viền thẻ, phân cách mục lục TOC, viền form bình luận &amp; input</t>
  </si>
  <si>
    <t>Neutral Canvas</t>
  </si>
  <si>
    <t>--color-bg-page</t>
  </si>
  <si>
    <t>#F8FAF7</t>
  </si>
  <si>
    <t>■ #F8FAF7</t>
  </si>
  <si>
    <t>Off-White Medical Wash</t>
  </si>
  <si>
    <t>Nền toàn bộ trang web (Body canvas), nền box trích dẫn Chuyên gia, thẻ sản phẩm</t>
  </si>
  <si>
    <t>Semantic Action</t>
  </si>
  <si>
    <t>--color-semantic-success</t>
  </si>
  <si>
    <t>#10B981</t>
  </si>
  <si>
    <t>■ #10B981</t>
  </si>
  <si>
    <t>Emerald Success Green</t>
  </si>
  <si>
    <t>Nút Đăng Ký Tư Vấn Ngay, trạng thái Chuyên gia trực tuyến, xác nhận đơn</t>
  </si>
  <si>
    <t>Cấp Bậc Phông Chữ (Hierarchy)</t>
  </si>
  <si>
    <t>Họ Phông (Font Family)</t>
  </si>
  <si>
    <t>Cỡ Chữ (Font Size)</t>
  </si>
  <si>
    <t>Trọng Số &amp; Kiểu Dáng</t>
  </si>
  <si>
    <t>Giãn Dòng (Line Height)</t>
  </si>
  <si>
    <t>Phạm Vi &amp; Thành Phần Áp Dụng Chuẩn Y Khoa</t>
  </si>
  <si>
    <t>Display Title (Hero)</t>
  </si>
  <si>
    <t>Playfair Display</t>
  </si>
  <si>
    <t>32px - 34px</t>
  </si>
  <si>
    <t>800 (Extra Bold)</t>
  </si>
  <si>
    <t>1.25 - 1.35</t>
  </si>
  <si>
    <t>Hero Big Title (Tri Nam Laser), Tiêu đề chi tiết bài viết lâm sàng (H1)</t>
  </si>
  <si>
    <t>Section Heading (H2)</t>
  </si>
  <si>
    <t>22px - 24px</t>
  </si>
  <si>
    <t>700 - 800 (Bold)</t>
  </si>
  <si>
    <t>1.35</t>
  </si>
  <si>
    <t>Tiêu đề phác đồ điều trị, spotlight lâm sàng, các phần mục lục đọc chuyên sâu</t>
  </si>
  <si>
    <t>Subsection Heading (H3)</t>
  </si>
  <si>
    <t>Playfair Display / Inter</t>
  </si>
  <si>
    <t>16px - 18px</t>
  </si>
  <si>
    <t>700 (Bold)</t>
  </si>
  <si>
    <t>Tiêu đề bài viết con, banner đăng ký tư vấn Chuyên gia, tên sản phẩm khuyên dùng</t>
  </si>
  <si>
    <t>Section Bar Label (Eyebrow)</t>
  </si>
  <si>
    <t>Inter</t>
  </si>
  <si>
    <t>13px - 15px</t>
  </si>
  <si>
    <t>800 (Extra Bold, Uppercase)</t>
  </si>
  <si>
    <t>1.2 (Spacing: 0.05em)</t>
  </si>
  <si>
    <t>Nhãn thanh header TIN MỚI NHẤT, TIN NỔI BẬT, VIDEO, AUDIO</t>
  </si>
  <si>
    <t>Clinical Body Text</t>
  </si>
  <si>
    <t>14.5px - 15px</t>
  </si>
  <si>
    <t>400 (Regular)</t>
  </si>
  <si>
    <t>1.75 (Tối ưu đọc sâu)</t>
  </si>
  <si>
    <t>Nội dung chi tiết phác đồ, giải thích cơ chế màng lipid, hướng dẫn tại nhà</t>
  </si>
  <si>
    <t>Expert Callout Note</t>
  </si>
  <si>
    <t>14px</t>
  </si>
  <si>
    <t>400 (Italic) + 700 (Author)</t>
  </si>
  <si>
    <t>Lời dặn trực tiếp từ Chuyên gia da liễu Nguyễn Minh Anh, khuyến cáo chuyên môn</t>
  </si>
  <si>
    <t>UI Navigation &amp; CTA</t>
  </si>
  <si>
    <t>12px - 13px</t>
  </si>
  <si>
    <t>600 - 700 (Semi / Bold)</t>
  </si>
  <si>
    <t>1.3 - 1.4</t>
  </si>
  <si>
    <t>Menu điều hướng, nút Đặt phác đồ, nút Xem tất cả, nút Back quay lại</t>
  </si>
  <si>
    <t>Badges &amp; Clinical Meta</t>
  </si>
  <si>
    <t>10px - 11.5px</t>
  </si>
  <si>
    <t>500 - 800 (Medium / Bold)</t>
  </si>
  <si>
    <t>1.3 (Spacing: 0.05em)</t>
  </si>
  <si>
    <t>Badge P0, Ngày tháng, thời lượng đọc, tên Chuyên gia, tag #Corticoid, chỉ số VISIA</t>
  </si>
  <si>
    <t>Khung &amp; Điểm Ngắt (Frame)</t>
  </si>
  <si>
    <t>Cấu Trúc Bố Cục (Architecture)</t>
  </si>
  <si>
    <t>Kích Thước &amp; Tỷ Lệ Lưới</t>
  </si>
  <si>
    <t>Khoảng Cách Lưới (Gap/Pad)</t>
  </si>
  <si>
    <t>Vai Trò Nghiệp Vụ Y Khoa</t>
  </si>
  <si>
    <t>Quy Chuẩn Responsive &amp; Trạng Thái</t>
  </si>
  <si>
    <t>Master Container</t>
  </si>
  <si>
    <t>Boxed Max-Width 1440px</t>
  </si>
  <si>
    <t>max-width: 1440px; margin: 0 auto</t>
  </si>
  <si>
    <t>padding: 0 36px (Desktop)</t>
  </si>
  <si>
    <t>Khung bao toàn trang đồng nhất cho toàn hệ thống Portal B2B/B2C</t>
  </si>
  <si>
    <t>Co dãn tự động &gt;1440px; padding thu hẹp còn 16px trên mobile</t>
  </si>
  <si>
    <t>Utility Topbar</t>
  </si>
  <si>
    <t>Single-line Flex Row</t>
  </si>
  <si>
    <t>height: 40px; full-width</t>
  </si>
  <si>
    <t>padding: 0 36px; gap: 20px</t>
  </si>
  <si>
    <t>Nền màu chính #3CB371; thông điệp Giao hàng toàn quốc, hotline chuyên gia 0967.194.063, tài khoản</t>
  </si>
  <si>
    <t>Nền #3CB371 chữ trắng; ẩn thanh link phụ trên &lt;768px, giữ nguyên thông điệp chính</t>
  </si>
  <si>
    <t>Sticky Master Header</t>
  </si>
  <si>
    <t>Fixed Navigation Bar</t>
  </si>
  <si>
    <t>height: 76px (Desktop) / 60px (Mobile)</t>
  </si>
  <si>
    <t>padding: 0 36px; gap: 24px</t>
  </si>
  <si>
    <t>Logo Pharma Cosmetics (biểu tượng #3CB371, text #166B55), menu điều hướng hover/active #3CB371, giỏ hàng</t>
  </si>
  <si>
    <t>Sticky top: 0, nền trắng viền #E5E7EB, box-shadow: 0 1px 3px rgba(0,0,0,0.04), z-index: 1000</t>
  </si>
  <si>
    <t>Hero Magazine Grid (Sec 1)</t>
  </si>
  <si>
    <t>3-Column Asymmetric Grid</t>
  </si>
  <si>
    <t>280px (Trái) - 1fr (Giữa) - 340px (Phải)</t>
  </si>
  <si>
    <t>gap: 20px; align: stretch</t>
  </si>
  <si>
    <t>Cột 1: Tin mới; Cột 2: Big Hero + 3 Mini Card; Cột 3: Tin nổi bật thumbnail</t>
  </si>
  <si>
    <t>Breakpoint 1200px: 2 cột; Mobile &lt;800px: 1 cột đơn xếp dọc</t>
  </si>
  <si>
    <t>Topic Matrix Grid (Sec 2)</t>
  </si>
  <si>
    <t>3-Column Clinical Matrix</t>
  </si>
  <si>
    <t>repeat(3, 1fr) x 5 dòng (15 cells)</t>
  </si>
  <si>
    <t>gap: 16px 32px; padding: 18px 24px</t>
  </si>
  <si>
    <t>Ma trận 15 chuyên đề da liễu ghép đôi trực tiếp Chuyên gia / Cố vấn da liễu</t>
  </si>
  <si>
    <t>Màn hình &lt;768px chuyển sang 1 cột danh sách dọc</t>
  </si>
  <si>
    <t>Clinical Split Grid (Sec 3)</t>
  </si>
  <si>
    <t>2-Column Split Magazine</t>
  </si>
  <si>
    <t>1.35fr (Ảnh lớn Hổ Arbutin + 2 Sub) - 1fr</t>
  </si>
  <si>
    <t>gap: 24px; padding: 16px 0</t>
  </si>
  <si>
    <t>Phác đồ tiêu điểm laser kết hợp 2 card phụ và cột 5 tin đọc liên quan</t>
  </si>
  <si>
    <t>Màn hình &lt;992px gập về 1 cột dọc tuần tự</t>
  </si>
  <si>
    <t>Multimedia Hub Grid (Sec 4)</t>
  </si>
  <si>
    <t>Split Video 2x2 &amp; Audio Radio</t>
  </si>
  <si>
    <t>1.25fr (Video 2x2 cards) - 0.85fr (Audio)</t>
  </si>
  <si>
    <t>Trung tâm đa phương tiện: 4 video tư vấn chuyên sâu + Podcast Radio chuyên đề</t>
  </si>
  <si>
    <t>Video chuyển 1 cột trên &lt;640px; Audio giữ danh sách nghe trực quan</t>
  </si>
  <si>
    <t>Detail Reading Grid (View 2)</t>
  </si>
  <si>
    <t>3-Column Sticky Reading Layout</t>
  </si>
  <si>
    <t>240px (TOC) - 780px (Main) - 280px (Widget)</t>
  </si>
  <si>
    <t>gap: 32px; padding: 32px 0</t>
  </si>
  <si>
    <t>Trải nghiệm đọc phác đồ lâm sàng: TOC cuộn theo dõi, đơn chăm sóc chỉ định</t>
  </si>
  <si>
    <t>&lt;1200px widget chuyển xuống dưới; &lt;900px ẩn Sticky TOC</t>
  </si>
  <si>
    <t>Consultation CTA Card</t>
  </si>
  <si>
    <t>Full-width Accent Dark Card</t>
  </si>
  <si>
    <t>padding: 36px 40px; border-radius: 10px</t>
  </si>
  <si>
    <t>gap: 32px; flex-wrap: wrap</t>
  </si>
  <si>
    <t>Kêu gọi hành động tư vấn 1:1 miễn phí, kết nối trực tiếp Chuyên gia trong 24h</t>
  </si>
  <si>
    <t>Input SĐT và nút Đăng ký tư vấn tự động full-width trên mobile</t>
  </si>
  <si>
    <t>Mobile Feed (Figma 351-180)</t>
  </si>
  <si>
    <t>Instagram-style Clinical Feed</t>
  </si>
  <si>
    <t>Stories Bar + Card Feed 1 cột dọc</t>
  </si>
  <si>
    <t>padding: 16px; border-bottom: 8px #F1F5F9</t>
  </si>
  <si>
    <t>Giao diện độc quyền thiết bị di động: Story vòng tròn, nút mua 1 chạm</t>
  </si>
  <si>
    <t>Kích hoạt hiển thị độc quyền trên màn hình mobile &lt;=768px</t>
  </si>
  <si>
    <t>Mã Component</t>
  </si>
  <si>
    <t>Tên Component Đặc Thù Y Khoa</t>
  </si>
  <si>
    <t>Phân Loại Giao Diện</t>
  </si>
  <si>
    <t>Quy Chuẩn Thiết Kế &amp; CSS Tokens</t>
  </si>
  <si>
    <t>Logic Nghiệp Vụ &amp; Tương Tác Y Tế</t>
  </si>
  <si>
    <t>Mức Ưu Tiên &amp; Tiêu Chuẩn Nghiệm Thu</t>
  </si>
  <si>
    <t>CMP-01</t>
  </si>
  <si>
    <t>Reading Progress Bar</t>
  </si>
  <si>
    <t>Dynamic Navigation</t>
  </si>
  <si>
    <t>height: 3px; fixed top: 0; gradient #267348 sang #DFBA73; z-index: 9999</t>
  </si>
  <si>
    <t>Đo lường % tiến độ đọc thực tế theo thời gian thực khi cuộn bài viết lâm sàng</t>
  </si>
  <si>
    <t>P0 (Bắt buộc trên view đọc bài chuyên sâu)</t>
  </si>
  <si>
    <t>CMP-02</t>
  </si>
  <si>
    <t>Sticky Table of Contents (TOC)</t>
  </si>
  <si>
    <t>Navigation Sidebar</t>
  </si>
  <si>
    <t>position: sticky; top: 96px; width: 240px; border-radius: 10px; border #E2E8F0</t>
  </si>
  <si>
    <t>Neo mục lục 6 phần, tự động highlight active item khi cuộn qua các section H2</t>
  </si>
  <si>
    <t>P0 (Tối ưu trải nghiệm nghiên cứu phác đồ)</t>
  </si>
  <si>
    <t>CMP-03</t>
  </si>
  <si>
    <t>Expert Clinical Callout Note</t>
  </si>
  <si>
    <t>Editorial Quotation Box</t>
  </si>
  <si>
    <t>bg #F8FAF7; border-left: 4px #267348; border-radius: 0 10px 10px 0; pad: 18px 22px</t>
  </si>
  <si>
    <t>Nhấn mạnh nguyên tắc vàng điều trị kèm chữ ký bảo chứng Chuyên gia Nguyễn Minh Anh</t>
  </si>
  <si>
    <t>P0 (Đặc trưng tin cậy của giao diện y khoa)</t>
  </si>
  <si>
    <t>CMP-04</t>
  </si>
  <si>
    <t>VISIA Clinical Comparison Box</t>
  </si>
  <si>
    <t>Evidence Display</t>
  </si>
  <si>
    <t>grid 2 cột 1fr 1fr; aspect-ratio: 4/3; overlay badge Tuần 0 vs Tuần 6; border #E2E8F0</t>
  </si>
  <si>
    <t>Minh chứng kết quả soi da VISIA trước &amp; sau 6 tuần, hiển thị giảm 85% mao mạch đỏ</t>
  </si>
  <si>
    <t>P0 (Thành phần chuyển đổi cốt lõi của Clinic)</t>
  </si>
  <si>
    <t>CMP-05</t>
  </si>
  <si>
    <t>Sticky Prescription Widget</t>
  </si>
  <si>
    <t>E-commerce Medical Box</t>
  </si>
  <si>
    <t>position: sticky; top: 86px; width: 280px; padding: 20px; border-radius: 10px</t>
  </si>
  <si>
    <t>Hiển thị sản phẩm khuyên dùng theo từng giai đoạn điều trị; nút Mua theo phác đồ</t>
  </si>
  <si>
    <t>P0 (Cầu nối giữa kiến thức và thương mại B2C)</t>
  </si>
  <si>
    <t>CMP-06</t>
  </si>
  <si>
    <t>Multimedia Hub (Video 2x2 &amp; Audio)</t>
  </si>
  <si>
    <t>Media Showcase Grid</t>
  </si>
  <si>
    <t>Video 2x2 cards banner màu thương hiệu (#1F5A3B, #D79A7D) + Audio tracklist</t>
  </si>
  <si>
    <t>Phát âm thanh lời khuyên khẩn cấp và video tư vấn lâm sàng thực tế</t>
  </si>
  <si>
    <t>P1 (Đa dạng hóa định dạng tiếp cận khách hàng)</t>
  </si>
  <si>
    <t>CMP-07</t>
  </si>
  <si>
    <t>Clinical Taxonomy &amp; Metadata</t>
  </si>
  <si>
    <t>Taxonomy Filter Bar</t>
  </si>
  <si>
    <t>Checklist danh mục chuyên khoa + Tag Cloud (#Corticoid, #DermaB5, #Laser)</t>
  </si>
  <si>
    <t>Bộ lọc đa tầng chuẩn khoa học; hỗ trợ nút tạo mới danh mục cho chuyên gia quản trị</t>
  </si>
  <si>
    <t>P0 (Chuẩn hóa phân loại cơ sở dữ liệu)</t>
  </si>
  <si>
    <t>CMP-08</t>
  </si>
  <si>
    <t>Clinical Comments &amp; Reviews</t>
  </si>
  <si>
    <t>Interactive Feedback</t>
  </si>
  <si>
    <t>Form SĐT bảo mật + Luồng bình luận đã điều trị có phản hồi chính thống từ Chuyên gia</t>
  </si>
  <si>
    <t>Xác thực đánh giá 5 sao kèm phản hồi chuyên môn 1:1 bảo mật cho khách hàng</t>
  </si>
  <si>
    <t>P0 (Bảo chứng lâm sàng và tương tác khách hàng)</t>
  </si>
  <si>
    <t>CMP-09</t>
  </si>
  <si>
    <t>SEC-ING-01</t>
  </si>
  <si>
    <t>Ingredients Search &amp; Alphabet Filter</t>
  </si>
  <si>
    <t>Multilingual &amp; Google Translate Switcher (Tiện Ích Đa Ngữ)</t>
  </si>
  <si>
    <t>Top Center Hero Container</t>
  </si>
  <si>
    <t>Global Utility Widget</t>
  </si>
  <si>
    <t>Tra cứu thành phần hoạt chất khoa học nhanh chóng cho Chuyên gia, Cố vấn và Khách hàng</t>
  </si>
  <si>
    <t>Dropdown Topbar (Desktop) / Sticky FAB (Mobile); icon cờ đa quốc gia; z-index: 1001; text-size: 11-12px; class="notranslate"</t>
  </si>
  <si>
    <t>Thanh tìm kiếm realtime + Dải nút lọc theo bảng chữ cái A-Z; Dropdown lọc theo nhóm công năng (Trị mụn, Trị nám, Lão hóa, Phục hồi)</t>
  </si>
  <si>
    <t>Lọc tức thời danh sách bên dưới; Highlight từ khóa trùng khớp; Nhấn nút chữ cái cuộn mượt tới nhóm tương ứng</t>
  </si>
  <si>
    <t>data/ingredients_database.json</t>
  </si>
  <si>
    <t>Tích hợp Google Translate Widget; async/defer script; lưu cookie googtrans; bảo vệ class="notranslate" cho SKU, thương hiệu, nồng độ hoạt chất</t>
  </si>
  <si>
    <t>P1 Accuracy: Dữ liệu tên quốc tế danh pháp INCI phải chuẩn hóa theo chuẩn Dược điển</t>
  </si>
  <si>
    <t>Tốc độ phản hồi tìm kiếm &lt; 30ms; Hỗ trợ duyệt danh sách bằng phím Tab mượt mà</t>
  </si>
  <si>
    <t>P0 (Ưu tiên số 1 - Bắt buộc toàn hệ thống 9 phân hệ)</t>
  </si>
  <si>
    <t>SEC-ING-02</t>
  </si>
  <si>
    <t>Scientific Ingredient Card Grid</t>
  </si>
  <si>
    <t>QUY CHUẨN ÁNH XẠ COLOR TOKENS: LIGHT THEME VS DARK THEME (TỰ ĐỘNG CHUẨN Y KHOA)</t>
  </si>
  <si>
    <t>Main Grid (3 cột)</t>
  </si>
  <si>
    <t>SEC-B2B-01</t>
  </si>
  <si>
    <t>Cung cấp hồ sơ khoa học chi tiết của từng hoạt chất dược mỹ phẩm</t>
  </si>
  <si>
    <t>B2B Partnership Hero</t>
  </si>
  <si>
    <t>Top Full Banner Container</t>
  </si>
  <si>
    <t>Card có badge màu cảnh báo độ kích ứng (Xanh lá: Lành tính; Vàng: Cần làm quen; Đỏ: Chuyên sâu/Kích ứng cao); Click mở hồ sơ chi tiết</t>
  </si>
  <si>
    <t>Giới thiệu chính sách hợp tác phân phối độc quyền cho Clinic, Spa, Nhà thuốc</t>
  </si>
  <si>
    <t>Quyền lợi đối tác: Mức chiết khấu hấp dẫn trực tiếp từ NSX, Chuyển giao phác đồ độc quyền, Hỗ trợ Marketing POSM; Nút Đăng Ký Đại Lý</t>
  </si>
  <si>
    <t>Card có badge màu cảnh báo độ kích ứng (Xanh lá: Lành tính; Vàng: Cần làm quen; Đỏ: Kê đơn/Kích ứng cao); Click mở hồ sơ chi tiết</t>
  </si>
  <si>
    <t>Banner tối ưu hóa tỷ lệ chuyển đổi CTA; Tải tài liệu Profile công ty dạng PDF</t>
  </si>
  <si>
    <t>layouts/b2b/hero.html</t>
  </si>
  <si>
    <t>content/ingredients/*.md</t>
  </si>
  <si>
    <t>P0 Compliance: Nồng độ giới hạn tối đa lưu hành phải tuân thủ nghiêm ngặt tiêu chuẩn an toàn mỹ phẩm ASEAN và hướng dẫn công bố</t>
  </si>
  <si>
    <t>P0 Legal: Thiết lập đối tác phân phối cho các cơ sở kinh doanh, nhà thuốc, spa có đăng ký kinh doanh và hồ sơ năng lực chuyên môn phù hợp</t>
  </si>
  <si>
    <t>Tỷ lệ chuyển đổi CTA cao; Văn phong chuyên nghiệp, chuẩn mực B2B</t>
  </si>
  <si>
    <t>Biến CSS Token &amp; Phân Nhóm</t>
  </si>
  <si>
    <t>Thẻ card hiển thị rõ ràng, phân cấp thị giác tốt; Badge màu sắc đạt độ tương phản chuẩn WCAG AA</t>
  </si>
  <si>
    <t>SEC-B2B-02</t>
  </si>
  <si>
    <t>4-Tier Wholesale Discount Matrix</t>
  </si>
  <si>
    <t>Center Pricing Comparison Table</t>
  </si>
  <si>
    <t>Minh bạch các hạn mức nhập hàng, tỷ lệ chiết khấu và quyền lợi đồng hành</t>
  </si>
  <si>
    <t>SEC-ING-03</t>
  </si>
  <si>
    <t>Light Theme (Mã Hex)</t>
  </si>
  <si>
    <t>Bảng so sánh 4 cấp bậc: Đại lý Bạc, Vàng, Kim Cương, Đối tác Chiến lược; Doanh số tối thiểu/tháng, % Chiết khấu, Thưởng quý, Đào tạo nhân sự, Hỗ trợ POSM</t>
  </si>
  <si>
    <t>Dark Theme (Mã Hex)</t>
  </si>
  <si>
    <t>Bảng so sánh responsive; Nổi bật gói được nhiều đối tác lựa chọn nhất; Chú thích điều khoản thanh toán công nợ minh bạch</t>
  </si>
  <si>
    <t>Tên Quy Chuẩn Dark Mode</t>
  </si>
  <si>
    <t>Interaction &amp; Combination Matrix</t>
  </si>
  <si>
    <t>data/b2b_policy.yaml</t>
  </si>
  <si>
    <t>Chuẩn Tương Phản WCAG &amp; Y Khoa</t>
  </si>
  <si>
    <t>P1 Commercial Integrity: Tuân thủ quy chế kiểm soát giá bán lẻ niêm yết, nghiêm cấm các hành vi bán phá giá gây lũng đoạn thị trường</t>
  </si>
  <si>
    <t>Cơ Chế Tự Động (@media &amp; Data-Theme)</t>
  </si>
  <si>
    <t>Interactive Matrix Table</t>
  </si>
  <si>
    <t>Bảng định dạng rõ ràng, không gây hiểu nhầm; Có nút bấm chọn đăng ký tương ứng cho từng cấp bậc đại lý</t>
  </si>
  <si>
    <t>--color-brand-primary (Brand Main)</t>
  </si>
  <si>
    <t>SEC-B2B-03</t>
  </si>
  <si>
    <t>Cẩm nang hướng dẫn phối hợp hoạt chất khoa học (Nên kết hợp vs Tuyệt đối tránh)</t>
  </si>
  <si>
    <t>Document &amp; Certification Repository</t>
  </si>
  <si>
    <t>Download Grid (3 cột)</t>
  </si>
  <si>
    <t>Cung cấp đầy đủ hồ sơ pháp lý công bố sản phẩm để phục vụ thanh kiểm tra thị trường</t>
  </si>
  <si>
    <t>Bảng ma trận 2 chiều: Xanh (Cộng hưởng tốt), Vàng (Thận trọng/Dãn cữ), Đỏ (Tuyệt đối không dùng chung cùng lúc kèm giải thích lý do vỡ pH/kích ứng)</t>
  </si>
  <si>
    <t>Danh mục tệp tải về: Phiếu tiếp nhận công bố mỹ phẩm, Giấy chứng nhận lưu hành tự do (CFS), Kết quả kiểm nghiệm vi sinh (COA), Giấy ủy quyền phân phối</t>
  </si>
  <si>
    <t>Bộ lọc tương tác giữa 2 hoạt chất bất kỳ do người dùng chọn từ 2 dropdown; Box giải thích cơ chế tương tác hóa học/sinh học cụ thể</t>
  </si>
  <si>
    <t>Hiển thị dung lượng file và định dạng (PDF); Nút tải tài liệu; Chỉ cho phép đại lý đã đăng nhập xác thực tải các tài liệu kỹ thuật bảo mật</t>
  </si>
  <si>
    <t>static/documents/compliance/</t>
  </si>
  <si>
    <t>data/ingredient_matrix.json</t>
  </si>
  <si>
    <t>P0 Compliance: Toàn bộ số phiếu tiếp nhận công bố phải tra cứu được trên hệ thống cơ sở dữ liệu công bố mỹ phẩm chuẩn hóa</t>
  </si>
  <si>
    <t>100% link tải file hoạt động tốt, không có link 404; File PDF được ký số điện tử hợp lệ</t>
  </si>
  <si>
    <t>P0 Medical Safety: Cảnh báo nguy hiểm cấp độ đỏ khi phối hợp BHA/AHA nồng độ cao với Tretinoin hoặc Vitamin C nguyên chất L-AA</t>
  </si>
  <si>
    <t>SEC-B2B-04</t>
  </si>
  <si>
    <t>■ #3ED58C</t>
  </si>
  <si>
    <t>Ma trận tương tác trực quan, dễ hiểu; Có trích dẫn nguồn tài liệu y khoa tham chiếu uy tín</t>
  </si>
  <si>
    <t>Partner Verification &amp; Onboarding Form</t>
  </si>
  <si>
    <t>Medical Bright Mint Green</t>
  </si>
  <si>
    <t>Bottom Form Container</t>
  </si>
  <si>
    <t>Tương phản 7.2:1 trên Dark Canvas (#0B1712). Chuẩn WCAG AAA y tế.</t>
  </si>
  <si>
    <t>Thu thập và xác minh hồ sơ đại lý phân phối hoàn toàn tự động</t>
  </si>
  <si>
    <t>Form nhập liệu: Tên doanh nghiệp/cơ sở làm đẹp, Mã số thuế, Người đại diện, SĐT, Email, Địa chỉ kinh doanh, File đính kèm ĐKKD/Hồ sơ năng lực; Nút Hoàn Tất Đăng Ký</t>
  </si>
  <si>
    <t>@media (prefers-color-scheme: dark) { --color-brand-primary: #3ED58C; }</t>
  </si>
  <si>
    <t>--color-brand-green (Brand Jade)</t>
  </si>
  <si>
    <t>■ #34D399</t>
  </si>
  <si>
    <t>Clinical Emerald Jade</t>
  </si>
  <si>
    <t>Tương phản 6.8:1 trên Dark Canvas. Đạt chuẩn WCAG AA/AAA.</t>
  </si>
  <si>
    <t>Tự động chuyển đổi theo OS preferences; dùng cho CTA phụ &amp; tiến trình</t>
  </si>
  <si>
    <t>--color-brand-dark (Brand Dark Teal)</t>
  </si>
  <si>
    <t>■ #2DD4BF</t>
  </si>
  <si>
    <t>Luminous Medical Teal</t>
  </si>
  <si>
    <t>Tương phản 8.1:1 trên nền tối. Giữ rõ nét chữ thương hiệu PHARMA.</t>
  </si>
  <si>
    <t>Đồng bộ logo, tiêu đề Big Hero &amp; viền thẻ lâm sàng ban đêm</t>
  </si>
  <si>
    <t>--color-brand-deep (Brand Deep Green)</t>
  </si>
  <si>
    <t>■ #132E20</t>
  </si>
  <si>
    <t>Night Clinic Container Dark</t>
  </si>
  <si>
    <t>Nền container tối phân tầng cấp 1, chống chói mắt chuyên gia ca đêm.</t>
  </si>
  <si>
    <t>Khối Zalo QR tư vấn, container banner tư vấn Chuyên gia trực tuyến</t>
  </si>
  <si>
    <t>--color-brand-mint-light (Mint Light)</t>
  </si>
  <si>
    <t>■ #1B3E2D</t>
  </si>
  <si>
    <t>Deep Mint Surface Container</t>
  </si>
  <si>
    <t>Thay đổi từ pastel sang nền tối dịu mắt, tương phản viền thẻ 4.6:1.</t>
  </si>
  <si>
    <t>Phân cách mục lục Sticky TOC, nền thẻ phác đồ điều trị ban đêm</t>
  </si>
  <si>
    <t>--color-brand-mint-subtle (Mint Subtle)</t>
  </si>
  <si>
    <t>■ #112A1E</t>
  </si>
  <si>
    <t>Subtle Night Mint Wash</t>
  </si>
  <si>
    <t>Gradient nền mềm 3:1 không gây nhức mắt khi nghiên cứu phác đồ dài.</t>
  </si>
  <si>
    <t>Gradient nền khối Hero Big Card &amp; viền thẻ chuyên gia lâm sàng</t>
  </si>
  <si>
    <t>--color-badge-green (Badge Green)</t>
  </si>
  <si>
    <t>■ #143823</t>
  </si>
  <si>
    <t>Dark Pharmacy Badge Green</t>
  </si>
  <si>
    <t>Chữ #34D399 trên nền #143823 đạt tỷ lệ 7.5:1 (chuẩn AAA).</t>
  </si>
  <si>
    <t>Badge Đã điều trị theo phác đồ, Tag chuyên môn P0 chuẩn da liễu</t>
  </si>
  <si>
    <t>--color-gold-sand (Accent Gold Sand)</t>
  </si>
  <si>
    <t>■ #F3CA7E</t>
  </si>
  <si>
    <t>Luminous Gold Sand</t>
  </si>
  <si>
    <t>Độ chói tăng 20% giúp thanh progress bar nổi bật trên nền tối (6.5:1).</t>
  </si>
  <si>
    <t>Thanh tiến trình đọc bài viết, viền spotlight ca bệnh lâm sàng</t>
  </si>
  <si>
    <t>--color-gold-dark (Accent Gold Dark)</t>
  </si>
  <si>
    <t>■ #E0A838</t>
  </si>
  <si>
    <t>Vibrant Ochre Gold</t>
  </si>
  <si>
    <t>Tăng cường độ sáng để chống chìm trên dark surface (5.8:1).</t>
  </si>
  <si>
    <t>--color-peach (Accent Peach)</t>
  </si>
  <si>
    <t>■ #E8A588</t>
  </si>
  <si>
    <t>Soft Derma Peach Dark</t>
  </si>
  <si>
    <t>Gam màu ấm phục hồi biểu bì da liễu, tương phản 5.2:1 trên nền tối.</t>
  </si>
  <si>
    <t>Khối Video Hub quy trình trị da, điểm nhấn tông màu phục hồi da</t>
  </si>
  <si>
    <t>--color-peach-light (Accent Peach Light)</t>
  </si>
  <si>
    <t>■ #2E1D16</t>
  </si>
  <si>
    <t>Deep Peach Wash</t>
  </si>
  <si>
    <t>Chuyển sang nền sẫm ấm, giảm 65% ánh sáng xanh có hại.</t>
  </si>
  <si>
    <t>--color-text-main (Neutral Text Main)</t>
  </si>
  <si>
    <t>■ #F1F5F3</t>
  </si>
  <si>
    <t>High-Contrast Medical White</t>
  </si>
  <si>
    <t>Tương phản 15.6:1 trên #0B1712, chuẩn tuyệt đối WCAG AAA y tế.</t>
  </si>
  <si>
    <t>Tự động đảo ngược cho tiêu đề H1/H2, tên bài viết, nhãn form</t>
  </si>
  <si>
    <t>--color-text-body (Neutral Text Body)</t>
  </si>
  <si>
    <t>■ #CBD5E1</t>
  </si>
  <si>
    <t>Slate Off-White Reading</t>
  </si>
  <si>
    <t>Tương phản 9.4:1, tối ưu cho mắt chuyên gia nghiên cứu phác đồ kéo dài.</t>
  </si>
  <si>
    <t>Nội dung chi tiết phác đồ, mô tả cơ chế màng lipid, đánh giá khách hàng</t>
  </si>
  <si>
    <t>--color-text-muted (Neutral Text Muted)</t>
  </si>
  <si>
    <t>■ #94A3B8</t>
  </si>
  <si>
    <t>Slate Light Muted</t>
  </si>
  <si>
    <t>Tương phản 5.1:1 (vượt chuẩn tối thiểu 4.5:1 của WCAG AA).</t>
  </si>
  <si>
    <t>Ngày xuất bản, thời lượng đọc, chú thích lâm sàng, tên tác giả phụ</t>
  </si>
  <si>
    <t>--color-border (Neutral Border)</t>
  </si>
  <si>
    <t>■ #1E3A2B</t>
  </si>
  <si>
    <t>Clinical Subtle Dark Border</t>
  </si>
  <si>
    <t>Phân định ranh giới thẻ rõ ràng mà không tạo độ chói quang học.</t>
  </si>
  <si>
    <t>Đường kẻ viền thẻ, phân cách mục lục Sticky TOC, viền form input</t>
  </si>
  <si>
    <t>--color-bg-page (Neutral Canvas)</t>
  </si>
  <si>
    <t>■ #0B1712</t>
  </si>
  <si>
    <t>Deep Forest Night Canvas</t>
  </si>
  <si>
    <t>Nền đen ánh rêu sẫm y khoa (OLED Black friendly), dịu mắt ca trực đêm.</t>
  </si>
  <si>
    <t>Tự động kích hoạt toàn bộ body canvas theo prefers-color-scheme: dark</t>
  </si>
  <si>
    <t>--color-semantic-success (Semantic Action)</t>
  </si>
  <si>
    <t>Vivid Emerald Action</t>
  </si>
  <si>
    <t>Tương phản 7.8:1 trên dark canvas, kích thích thị giác click CTA.</t>
  </si>
  <si>
    <t>QUY CHUẨN KỸ THUẬT ĐA NGỮ (SEC-HP-11) &amp; BẢO VỆ THUẬT NGỮ Y KHOA (TIÊU CHUẨN P0 TOÀN DỰ ÁN)</t>
  </si>
  <si>
    <t>Tiêu Chí Kỹ Thuật</t>
  </si>
  <si>
    <t>Đặc Tả Kiến Trúc (Architecture)</t>
  </si>
  <si>
    <t>Cấu Hình Triển Khai (Implementation)</t>
  </si>
  <si>
    <t>Quy Tắc Chuyên Môn Bắt Buộc</t>
  </si>
  <si>
    <t>Ảnh Hưởng Hiệu Năng (Core Web Vitals)</t>
  </si>
  <si>
    <t>Mức Ưu Tiên Áp Dụng</t>
  </si>
  <si>
    <t>1. Vị Trí Giao Diện (UI Placement)</t>
  </si>
  <si>
    <t>Top Bar Utility (Góc phải Desktop 1440px) &amp; Sticky Floating Widget (Góc phải Mobile 375px)</t>
  </si>
  <si>
    <t>Dropdown chọn ngôn ngữ tích hợp Google Translate Element; Z-index: 1001; Cờ quốc gia + Mã ISO (VI, EN, KO, JA, ZH)</t>
  </si>
  <si>
    <t>Không che khuất thanh hotline tư vấn da liễu (0967.194.063), nút Đặt lịch tư vấn và Mini Cart</t>
  </si>
  <si>
    <t>Cumulative Layout Shift (CLS) = 0; Chiếm diện tích cố định, không giật khung hình khi nạp</t>
  </si>
  <si>
    <t>P0 (Bắt buộc 9/9 Phân hệ)</t>
  </si>
  <si>
    <t>SEC-BLOG-01</t>
  </si>
  <si>
    <t>2. Cơ Chế Script &amp; Tải Bất Đồng Bộ</t>
  </si>
  <si>
    <t>Featured Medical Editorial Hero</t>
  </si>
  <si>
    <t>Hero Section (Full-width / Split banner)</t>
  </si>
  <si>
    <t>Làm nổi bật các chuyên đề lâm sàng, báo cáo nghiên cứu và bài viết biên tập bởi Chuyên gia da liễu</t>
  </si>
  <si>
    <t>Banner bài viết tiêu điểm: Ảnh thumbnail tỷ lệ 16:9 độ phân giải cao, Badge chuyên khoa (Da liễu, Dược lý, Lão hóa), Tiêu đề H1 chuẩn SEO, Tên Chuyên gia kiểm duyệt, Ngày đăng, Thời gian đọc ước tính</t>
  </si>
  <si>
    <t>Tự động xoay vòng top 3 bài viết ghim hoặc bài viết mới nhất được gắn tag Editorial_Pick; Click chuyển hướng sang trang chi tiết bài viết</t>
  </si>
  <si>
    <t>cms/articles/featured.json</t>
  </si>
  <si>
    <t>P0 Compliance: Tác giả và chuyên gia thẩm định (Reviewer) phải hiển thị đầy đủ thông tin chuyên môn (Thạc sĩ da liễu, Dược sĩ, Cố vấn thẩm mỹ) và kinh nghiệm thực nghiệm lâm sàng</t>
  </si>
  <si>
    <t>Tốc độ tải ảnh Hero đạt LCP &lt; 1.2s; Badge chuyên khoa hiển thị màu sắc tương phản rõ nét</t>
  </si>
  <si>
    <t>SEC-BLOG-02</t>
  </si>
  <si>
    <t>Medical Category &amp; Topic Filter Bar</t>
  </si>
  <si>
    <t>Sticky Navigation Bar (Horizontal Scroll / Chips)</t>
  </si>
  <si>
    <t>Giúp người đọc và khách hàng phân loại, lọc nhanh kiến thức theo chủ đề chăm sóc da và liệu trình chuyên sâu</t>
  </si>
  <si>
    <t>Thanh cuộn ngang chứa danh mục: Tất cả, Mụn trứng cá, Nám &amp; Tăng sắc tố, Phục hồi màng đáy, Trẻ hóa da, Chăm sóc sau liệu trình chuyên sâu; Ô tìm kiếm nhanh theo từ khóa tình trạng da</t>
  </si>
  <si>
    <t>Lọc động danh sách bài viết bên dưới theo Ajax/Realtime không tải lại trang; Lưu trạng thái lọc vào URL params (?topic=...); Highlight tab đang chọn</t>
  </si>
  <si>
    <t>api/v1/blog/categories</t>
  </si>
  <si>
    <t>P1 Accuracy: Các thuật ngữ chủ đề chăm sóc da phải dùng thuật ngữ khoa học chuẩn (vd: Trứng cá đỏ thay vì mụn đỏ; Viêm da cơ địa thay vì dị ứng thông thường)</t>
  </si>
  <si>
    <t>Thanh trượt chuyển tab phản hồi ngay lập tức &lt; 50ms; Tương thích mượt mà trên thiết bị di động</t>
  </si>
  <si>
    <t>SEC-BLOG-03</t>
  </si>
  <si>
    <t>Clinical Articles Masonry Grid</t>
  </si>
  <si>
    <t>Main Content Grid (3 cột Desktop / 1 cột Mobile)</t>
  </si>
  <si>
    <t>Hiển thị kho bài viết kiến thức chuyên sâu, case study chăm sóc thực tế và phác đồ phối hợp sản phẩm</t>
  </si>
  <si>
    <t>Card bài viết: Ảnh đại diện tối ưu WebP, Badge chuyên mục, Tiêu đề bài viết chuẩn khoa học, Đoạn trích dẫn tóm tắt (Excerpt tối đa 120 ký tự), Avatar và tên chuyên gia tác giả, Lượt xem, Nút Lưu bài viết</t>
  </si>
  <si>
    <t>Phân trang vô hạn (Infinite scroll) hoặc nút 'Tải thêm bài viết' (Load more); Lazy loading toàn bộ hình ảnh ngoài khung nhìn viewport</t>
  </si>
  <si>
    <t>api/v1/blog/posts?page=1&amp;limit=9</t>
  </si>
  <si>
    <t>P0 Scientific Ethics: Tuyệt đối không chứa tuyên bố phóng đại sai sự thật về hiệu quả; Bài viết có tài liệu tham khảo khoa học (PubMed/Dermatology Journals)</t>
  </si>
  <si>
    <t>Card hiển thị đồng đều về kích thước; Trích dẫn không vượt quá số dòng quy định; Nút tải thêm hoạt động trơn tru</t>
  </si>
  <si>
    <t>SEC-BLOG-04</t>
  </si>
  <si>
    <t>Expert Consultation &amp; Newsletter CTA</t>
  </si>
  <si>
    <t>Bottom Full-width Container</t>
  </si>
  <si>
    <t>Thu thập thông tin khách hàng tiềm năng nhận bản tin cập nhật kiến thức định kỳ và điều hướng đặt lịch tư vấn trực tiếp</t>
  </si>
  <si>
    <t>Box đăng ký nhận bản tin Dược mỹ phẩm qua Email; Banner kêu gọi 'Đặt lịch tư vấn cùng Chuyên gia da liễu' kèm nút CTA nổi bật</t>
  </si>
  <si>
    <t>Kiểm tra định dạng Email hợp lệ RFC 5322; Chống spam bằng reCAPTCHA v3 vô hình; Ghi nhận Lead trực tiếp vào hệ thống CRM</t>
  </si>
  <si>
    <t>services/lead_capture_form</t>
  </si>
  <si>
    <t>P1 Privacy: Tuân thủ quy định bảo mật dữ liệu thông tin cá nhân và chính sách riêng tư khách hàng (Nghị định 13/2023/NĐ-CP)</t>
  </si>
  <si>
    <t>Phản hồi thông báo đăng ký thành công bằng Toast message rõ ràng; Tỷ lệ chuyển đổi CTA tối ưu</t>
  </si>
  <si>
    <t>SEC-BPOST-01</t>
  </si>
  <si>
    <t>Article Header &amp; Clinical Authority Metadata</t>
  </si>
  <si>
    <t>Top Hero Container</t>
  </si>
  <si>
    <t>Thiết lập uy tín khoa học, bản quyền chuyên môn và thông tin định danh bài viết khoa học</t>
  </si>
  <si>
    <t>Tiêu đề bài viết H1, Breadcrumb phân cấp đa tầng (Trang chủ &gt; Blog &gt; Chuyên đề), Badge thể loại, Ngày xuất bản &amp; ngày cập nhật chuyên môn mới nhất, Tên Chuyên gia tác giả &amp; Chuyên gia cố vấn bình duyệt (Peer-reviewed by) kèm liên kết hồ sơ chuyên gia, Nút chia sẻ mạng xã hội</t>
  </si>
  <si>
    <t>Tự động tính thời gian đọc dựa trên tổng số từ (200 từ/phút); Schema.org MedicalWebPage &amp; Article chuẩn JSON-LD phục vụ SEO y tế</t>
  </si>
  <si>
    <t>cms/articles/detail_header.json</t>
  </si>
  <si>
    <t>P0 Author Verification: Mọi bài viết chuyên sâu phải có chữ ký số hoặc xác thực định danh của Chuyên gia da liễu có chứng nhận chuyên môn và kinh nghiệm thực tế</t>
  </si>
  <si>
    <t>Đầy đủ thẻ meta Open Graph và Schema markup; Hiển thị avatar và danh xưng chuyên môn của Chuyên gia rõ ràng</t>
  </si>
  <si>
    <t>SEC-BPOST-02</t>
  </si>
  <si>
    <t>Medical Table of Contents &amp; Sticky Anchor Nav</t>
  </si>
  <si>
    <t>Left Sidebar (Desktop Sticky) / Dropdown (Mobile)</t>
  </si>
  <si>
    <t>Giúp độc giả nắm bắt cấu trúc luận điểm khoa học và điều hướng nhanh đến mục nội dung cần đọc</t>
  </si>
  <si>
    <t>Mục lục tự động sinh (Auto Table of Contents) dựa trên các thẻ H2, H3 trong bài; Thanh chỉ báo tiến độ đọc (Reading progress bar) dạng line ở đầu trang</t>
  </si>
  <si>
    <t>Theo dõi vị trí cuộn trang (ScrollSpy) để active highlight mục lục tương ứng; Cuộn mượt (Smooth scroll) kèm bù trừ khoảng cách header sticky khi click anchor link</t>
  </si>
  <si>
    <t>script/client_scroll_spy.js</t>
  </si>
  <si>
    <t>P1 Usability: Không phát sinh hiện tượng che khuất tiêu đề mục tiêu khi cuộn tới vị trí neo</t>
  </si>
  <si>
    <t>Mục lục tự động ẩn trên màn hình nhỏ hoặc thu vào menu accordion linh hoạt; Trải nghiệm điều hướng mượt mà</t>
  </si>
  <si>
    <t>SEC-BPOST-03</t>
  </si>
  <si>
    <t>Clinical Article Deep-Dive &amp; Clinical Imagery</t>
  </si>
  <si>
    <t>Main Article Column (Max-width 780px)</t>
  </si>
  <si>
    <t>Trình bày nội dung chuyên sâu, cơ chế tác động sinh học, phác đồ chăm sóc và minh chứng lâm sàng</t>
  </si>
  <si>
    <t>Văn bản bài viết chuẩn Typography, Hộp trích dẫn nổi bật (Callout/Expert's Note), Hình ảnh so sánh Trước/Sau (Before/After Slider) có che bảo mật danh tính khách hàng, Infographic cơ chế hoạt động tế bào</t>
  </si>
  <si>
    <t>Bảo mật hình ảnh lâm sàng chống sao chép trái phép (Watermark bản quyền cơ sở/phòng lab); Hỗ trợ lightbox phóng to ảnh độ phân giải cao kèm chú thích chuyên môn</t>
  </si>
  <si>
    <t>cms/articles/body_content.md</t>
  </si>
  <si>
    <t>P1 Visual Standard: Hình ảnh lâm sàng Before/After bắt buộc phải có văn bản đồng thuận của khách hàng (Informed Consent) và làm mờ nhận diện khuôn mặt/mắt</t>
  </si>
  <si>
    <t>Nội dung bài viết mạch lạc, không lỗi font chữ, hình ảnh tối ưu dung lượng WebP tải nhanh dưới 1.5s</t>
  </si>
  <si>
    <t>SEC-BPOST-04</t>
  </si>
  <si>
    <t>Referenced Products &amp; Suggested Regimen</t>
  </si>
  <si>
    <t>Sticky Right Column / In-article Product Carousel</t>
  </si>
  <si>
    <t>Liên kết phác đồ chăm sóc trong bài viết tới danh mục dược mỹ phẩm chính hãng được khuyên dùng</t>
  </si>
  <si>
    <t>Thẻ sản phẩm liên quan: Ảnh sản phẩm GSP, Tên biệt dược/thương mại, Thành phần hoạt chất chính, Giá niêm yết B2C / Giá sỉ B2B (nếu đăng nhập đại lý), Nút 'Thêm vào giỏ' hoặc 'Cần tư vấn'</t>
  </si>
  <si>
    <t>Kiểm tra quyền hạn tài khoản (B2B vs B2C); Đối với sản phẩm hoạt chất nồng độ cao, kích hoạt cảnh báo 'Khuyên dùng có hướng dẫn của Chuyên gia'</t>
  </si>
  <si>
    <t>api/v1/products/linked_regimen</t>
  </si>
  <si>
    <t>P0 Safety Control: Khuyến cáo an toàn sử dụng đối với các hoạt chất điều trị chuyên sâu, cung cấp hướng dẫn chi tiết từ Chuyên gia da liễu</t>
  </si>
  <si>
    <t>Thẻ sản phẩm đồng bộ với hệ thống kho vận; Nút tương tác chuyển đổi trạng thái rõ ràng</t>
  </si>
  <si>
    <t>SEC-BPOST-05</t>
  </si>
  <si>
    <t>Scientific References &amp; Clinical Disclaimer</t>
  </si>
  <si>
    <t>Footer Article Container</t>
  </si>
  <si>
    <t>Đảm bảo tính minh bạch học thuật, trích dẫn nguồn nghiên cứu quốc tế và khuyến cáo sử dụng</t>
  </si>
  <si>
    <t>Danh sách tài liệu tham khảo đánh số có liên kết DOI/PubMed; Hộp khuyến cáo bắt buộc (Clinical Disclaimer: 'Thông tin mang tính chất phổ biến kiến thức khoa học, tham khảo ý kiến Chuyên gia trước khi áp dụng')</t>
  </si>
  <si>
    <t>Tự động kiểm tra tính khả dụng của link liên kết ngoài (external links); Mở link tài liệu tham khảo ở tab mới có rel='noopener noreferrer nofollow'</t>
  </si>
  <si>
    <t>cms/articles/references_disclaimer.json</t>
  </si>
  <si>
    <t>P0 Content Disclaimer: Hộp khuyến cáo tham khảo khoa học là quy chuẩn P0 bắt buộc để đảm bảo an toàn trải nghiệm khách hàng</t>
  </si>
  <si>
    <t>Tài liệu tham khảo đánh số chuẩn xác định dạng Vancouver; Hộp khuyến cáo hiển thị nổi bật với viền vàng cam cảnh báo</t>
  </si>
  <si>
    <t>SEC-APPT-01</t>
  </si>
  <si>
    <t>Expert Profile &amp; Specialty Selector</t>
  </si>
  <si>
    <t>Top Selection Container</t>
  </si>
  <si>
    <t>Giúp khách hàng lựa chọn Chuyên gia da liễu và dịch vụ tư vấn phù hợp nhu cầu</t>
  </si>
  <si>
    <t>Thẻ Chuyên gia: Ảnh chân dung chuyên nghiệp, Họ tên, Trình độ chuyên môn (Thạc sĩ, Dược sĩ, Cố vấn da liễu), Chuyên khoa thế mạnh (Trị mụn, Phục hồi da, Trẻ hóa, Cân bằng hệ vi sinh), Đánh giá rating 5 sao, Nơi công tác; Bộ lọc theo chi nhánh/cơ sở hoặc hình thức tư vấn (Trực tiếp tại cơ sở / Tư vấn từ xa Online)</t>
  </si>
  <si>
    <t>Truy xuất realtime lịch trống làm việc của Chuyên gia từ hệ thống điều phối; Khóa chọn Chuyên gia nếu đã kín lịch trong ngày</t>
  </si>
  <si>
    <t>api/v1/experts/schedule_availability</t>
  </si>
  <si>
    <t>P0 Expert Verification: 100% Chuyên gia tham gia tư vấn trực tuyến bắt buộc phải có hồ sơ năng lực chuyên môn và chứng nhận đào tạo chuyên sâu da liễu</t>
  </si>
  <si>
    <t>Giao diện chọn chuyên gia trực quan, hiển thị trạng thái 'Còn lịch' hoặc 'Hết lịch' rõ ràng theo thời gian thực</t>
  </si>
  <si>
    <t>SEC-APPT-02</t>
  </si>
  <si>
    <t>Interactive Slot &amp; Date Picker Calendar</t>
  </si>
  <si>
    <t>Main Calendar &amp; Time Slot Matrix</t>
  </si>
  <si>
    <t>Cho phép khách hàng chủ động chọn ngày và khung giờ tư vấn linh hoạt theo thời gian thực</t>
  </si>
  <si>
    <t>Lịch chọn ngày trong tháng; Khung giờ chia theo slot 30 phút (Buổi sáng 8:30 - 12:00, Buổi chiều 13:30 - 17:30, Tối 18:00 - 20:00); Hiển thị trạng thái slot: Còn trống (Xanh), Đang giữ chỗ (Vàng), Đã đặt (Xám mờ)</t>
  </si>
  <si>
    <t>Cơ chế khóa tạm thời slot tư vấn (Lock slot trong 10 phút) khi khách hàng đang tiến hành điền thông tin; Tự động giải phóng slot nếu hết thời gian giữ chỗ mà không hoàn tất</t>
  </si>
  <si>
    <t>services/booking_slot_engine</t>
  </si>
  <si>
    <t>P0 Anti-Double-Booking: Cơ chế kiểm tra xung đột lịch (Concurrency check) ở mức Database Transaction, tuyệt đối không cho phép 2 khách hàng đặt trùng một khung giờ của cùng Chuyên gia</t>
  </si>
  <si>
    <t>Giao diện lịch mượt mà, phản hồi tức thì khi chọn ngày; Đếm ngược thời gian giữ chỗ hiển thị chuẩn xác</t>
  </si>
  <si>
    <t>SEC-APPT-03</t>
  </si>
  <si>
    <t>Client Triage &amp; Skin Intake Form</t>
  </si>
  <si>
    <t>Centered Two-Column Form Container</t>
  </si>
  <si>
    <t>Thu thập thông tin khách hàng, tiền sử chăm sóc, tình trạng da hiện tại và triệu chứng kích ứng sơ bộ</t>
  </si>
  <si>
    <t>Form nhập liệu: Họ tên khách hàng, Số điện thoại (xác thực OTP), Email liên hệ, Ngày sinh, Giới tính; Khảo sát tiền sử kích ứng mỹ phẩm, Tình trạng da đang gặp; Tải lên 3 ảnh chụp cận cảnh vùng da (Trước, Trái, Phải)</t>
  </si>
  <si>
    <t>Mã hóa dữ liệu cá nhân (AES-256); Validate chặt chẽ số điện thoại di động Việt Nam và định dạng ảnh tải lên (JPG/PNG &lt; 5MB/ảnh)</t>
  </si>
  <si>
    <t>api/v1/clients/intake_submission</t>
  </si>
  <si>
    <t>P0 Data Privacy: Dữ liệu thông tin cá nhân và hình ảnh tình trạng da của khách hàng phải tuân thủ nghiêm ngặt quy định bảo mật theo Luật Bảo vệ dữ liệu cá nhân</t>
  </si>
  <si>
    <t>Thông báo lỗi validation cụ thể ở từng trường; Quy trình xác thực OTP SMS/Zalo ZNS nhanh chóng dưới 15s</t>
  </si>
  <si>
    <t>SEC-APPT-04</t>
  </si>
  <si>
    <t>Booking Summary &amp; Multi-channel Confirmation</t>
  </si>
  <si>
    <t>Bottom Confirmation &amp; Success Modal</t>
  </si>
  <si>
    <t>Xác nhận chi tiết lịch hẹn, chi phí tư vấn và gửi thông báo xác nhận đa kênh cho khách hàng</t>
  </si>
  <si>
    <t>Bảng tóm tắt lịch hẹn: Tên Chuyên gia, Khung giờ &amp; Ngày hẹn, Địa điểm/Link tư vấn online, Phí tư vấn (0đ nếu theo chương trình ưu đãi); Nút 'Xác nhận đặt lịch'; Modal thông báo thành công kèm mã QR Check-in tại quầy đón tiếp</t>
  </si>
  <si>
    <t>Gửi SMS/Zalo ZNS và Email tự động kèm file .ics để thêm sự kiện vào Google Calendar / Apple Calendar; Đồng bộ dữ liệu lịch hẹn về ứng dụng nội bộ của Chuyên gia</t>
  </si>
  <si>
    <t>services/notification_scheduler</t>
  </si>
  <si>
    <t>P1 Operational SLA: Tin nhắn xác nhận lịch hẹn và mã QR phải được gửi đến điện thoại khách hàng trong vòng tối đa 60 giây kể từ khi bấm xác nhận</t>
  </si>
  <si>
    <t>Mã QR Check-in sắc nét, dễ quét; File lịch .ics tích hợp đầy đủ thông tin địa chỉ và hướng dẫn chuẩn bị trước buổi tư vấn</t>
  </si>
  <si>
    <t>SEC-TRACK-01</t>
  </si>
  <si>
    <t>Order Lookup &amp; OTP Authentication Header</t>
  </si>
  <si>
    <t>Top Search Container</t>
  </si>
  <si>
    <t>Cho phép khách hàng và đại lý B2B tra cứu hành trình đơn hàng dược mỹ phẩm nhanh chóng, an toàn</t>
  </si>
  <si>
    <t>Thanh nhập: Mã đơn hàng (SO/DO-xxxx) hoặc Số điện thoại đặt hàng; Nút 'Tra cứu ngay'; Cơ chế gửi mã OTP xác thực số điện thoại để mở thông tin nhạy cảm của đơn hàng</t>
  </si>
  <si>
    <t>Validate cú pháp mã đơn hàng; Bắt buộc xác thực OTP để bảo vệ thông tin cá nhân và danh mục sản phẩm đi kèm; Giới hạn tần suất tra cứu (Rate limit 5 lần/phút/IP) chống crawl</t>
  </si>
  <si>
    <t>api/v1/orders/lookup_auth</t>
  </si>
  <si>
    <t>P0 Security &amp; Privacy: Thông tin chi tiết khách hàng và đơn hàng dược mỹ phẩm chỉ được giải mã sau khi xác thực OTP thành công</t>
  </si>
  <si>
    <t>Phản hồi thông tin tra cứu tức thời &lt; 100ms; Báo lỗi rõ ràng nếu mã đơn hàng hoặc số điện thoại không tồn tại</t>
  </si>
  <si>
    <t>SEC-TRACK-02</t>
  </si>
  <si>
    <t>GSP Cold Chain &amp; Milestone Timeline</t>
  </si>
  <si>
    <t>Main Stepper / Timeline Container</t>
  </si>
  <si>
    <t>Trực quan hóa lộ trình vận chuyển và kiểm soát nghiêm ngặt điều kiện nhiệt độ/độ ẩm chuẩn GSP/GDP y tế</t>
  </si>
  <si>
    <t>Dải timeline các mốc: Tiếp nhận đơn &gt; Dược sĩ duyệt đơn &gt; Đóng gói phòng sạch GSP &gt; Đang vận chuyển bảo ôn &gt; Đã giao hàng; Card thông số môi trường: Nhiệt độ kho/thùng xe bảo ôn (ví dụ: 15°C - 25°C hoặc 2°C - 8°C đối với Serum đặc trị sinh học), Độ ẩm không khí (&lt; 60%)</t>
  </si>
  <si>
    <t>Tích hợp API thiết bị cảm biến IoT giám sát nhiệt độ thùng hàng theo thời gian thực; Cảnh báo màu đỏ nếu nhiệt độ vượt ngưỡng an toàn trong suốt hành trình</t>
  </si>
  <si>
    <t>services/iot_gsp_tracking</t>
  </si>
  <si>
    <t>P0 GSP Cold Chain Quality: Toàn bộ lô hàng dược mỹ phẩm điều trị bắt buộc phải lưu vết lịch sử nhiệt độ bảo quản chuẩn GSP từ kho tới tay khách hàng</t>
  </si>
  <si>
    <t>Thanh trạng thái hiển thị trực quan; Chỉ số nhiệt độ/độ ẩm cập nhật tự động từ log cảm biến xe lạnh vận tải y tế</t>
  </si>
  <si>
    <t>SEC-TRACK-03</t>
  </si>
  <si>
    <t>Consignment Detail &amp; Digital COA/VAT</t>
  </si>
  <si>
    <t>Bottom Two-Column Summary Container</t>
  </si>
  <si>
    <t>Cung cấp chi tiết kiện hàng, số lô hạn dùng, hóa đơn điện tử VAT và phiếu kiểm nghiệm COA chính hãng</t>
  </si>
  <si>
    <t>Danh sách sản phẩm chi tiết: Tên sản phẩm, Số lượng, Số lô sản xuất (Batch No.), Hạn sử dụng (Exp Date), Tem chống hàng giả QR; Nút tải file PDF Hóa đơn điện tử VAT và Phiếu kiểm nghiệm chất lượng (COA) của từng lô hàng</t>
  </si>
  <si>
    <t>Đồng bộ realtime với phần mềm ERP/WMS kho dược; Link tải COA/Hóa đơn có thời hạn an toàn (Signed URL 30 phút)</t>
  </si>
  <si>
    <t>api/v1/orders/consignment_details</t>
  </si>
  <si>
    <t>P1 Compliance: Số lô (Batch No.) và Hạn sử dụng trên phiếu xuất kho điện tử phải trùng khớp 100% với nhãn phụ in trên vỏ hộp thực tế</t>
  </si>
  <si>
    <t>Hỗ trợ tải chứng từ COA/VAT dạng PDF sắc nét; Hiển thị đầy đủ thông tin xuất xứ và cam kết chính hãng 100%</t>
  </si>
  <si>
    <t>Kiểm tra mã số thuế tự động qua API Tổng cục Thuế; Upload file chứng thực &lt; 5MB (PDF/JPG); Tích hợp xác thực chống spam Turnstile/reCAPTCHA</t>
  </si>
  <si>
    <t>layouts/b2b/onboarding-form.html</t>
  </si>
  <si>
    <t>P0 Security: Áp dụng mã hóa HTTPS SSL; Tuân thủ Luật An ninh mạng và Luật Bảo vệ dữ liệu cá nhân 91/2025/QH15 trong lưu trữ thông tin B2B</t>
  </si>
  <si>
    <t>Form submit mượt mà; Tự động gửi email thông báo xác nhận tiếp nhận hồ sơ trong vòng 15 phút</t>
  </si>
  <si>
    <t>Google Translate Element Script nạp qua async / defer</t>
  </si>
  <si>
    <t>&lt;script async defer src="//[link removed]"&gt;&lt;/script&gt;</t>
  </si>
  <si>
    <t>Nạp bất đồng bộ sau khi First Contentful Paint hoàn tất; không chặn luồng render hồ sơ &amp; phác đồ</t>
  </si>
  <si>
    <t>Total Blocking Time (TBT) tăng &lt; 50ms; LCP đạt chuẩn &lt; 1.2s trên toàn bộ 9 phân hệ</t>
  </si>
  <si>
    <t>Đã chuẩn hóa</t>
  </si>
  <si>
    <t>3. Lưu Trữ Trạng Thái Ngôn Ngữ</t>
  </si>
  <si>
    <t>Đồng bộ cookie tiêu chuẩn 'googtrans' kết hợp localStorage trình duyệt</t>
  </si>
  <si>
    <t>Cookie path=/; SameSite=Lax; Lưu chuỗi cặp mã ngôn ngữ (ví dụ: /vi/en, /vi/ko) duy trì xuyên suốt mọi view</t>
  </si>
  <si>
    <t>Tự động nhận diện locale trình duyệt khách hàng; Bắt buộc có nút Reset Original khôi phục Tiếng Việt gốc</t>
  </si>
  <si>
    <t>Thời gian phản hồi chuyển đổi ngôn ngữ tức thì &lt; 100ms; không reload toàn bộ trang web</t>
  </si>
  <si>
    <t>MOD-02</t>
  </si>
  <si>
    <t>4. Bảo Vệ Thuật Ngữ (notranslate)</t>
  </si>
  <si>
    <t>Cơ chế cách ly dịch thuật bắt buộc class="notranslate" cho toàn bộ thực thể y dược</t>
  </si>
  <si>
    <t>Gắn thẻ &lt;span class="notranslate"&gt; hoặc translate="no" tự động bằng Template Engine / Hugo Shortcode</t>
  </si>
  <si>
    <t>BẮT BUỘC giữ nguyên: Tên thương hiệu (Obagi, Theramid...), mã SKU, nồng độ hoạt chất (Azelaic 15%, Retinol 1%), tên Latin Chuyên gia</t>
  </si>
  <si>
    <t>Loại trừ 100% rủi ro dịch sai lệch chỉ định dược điển và hoạt chất khoa học nguy hiểm</t>
  </si>
  <si>
    <t>P0 (Bảo vệ pháp lý &amp; chuyên môn)</t>
  </si>
  <si>
    <t>5. Định Dạng Tiền Tệ &amp; Đơn Vị Y Tế</t>
  </si>
  <si>
    <t>Đồng bộ định dạng tiền tệ VND kèm quy đổi tỷ giá tham chiếu ngoại tệ (USD, KRW, JPY)</t>
  </si>
  <si>
    <t>Đơn vị tính: ml, g, %, mg/cm²; định dạng tiền tệ VND chuẩn (850.000 đ) giữ nguyên không dịch text</t>
  </si>
  <si>
    <t>Chi Tiết Sản Phẩm (PDP &amp; Lâm Sàng)</t>
  </si>
  <si>
    <t>Cấm dịch các đơn vị đo lường quốc tế sang từ ngữ bản địa gây hiểu lầm liều lượng dùng</t>
  </si>
  <si>
    <t>Độ chính xác dữ liệu khoa học 100%; Tuân thủ quy chế nhãn mỹ phẩm &amp; tiêu chuẩn công bố sản phẩm</t>
  </si>
  <si>
    <t>6. Tương Thích Thiết Bị &amp; Dark Mode</t>
  </si>
  <si>
    <t>Responsive 100% từ Desktop 1440px xuống Tablet 768px và Mobile Clinical Feed 375px</t>
  </si>
  <si>
    <t>Tự động thu gọn thành Floating Action Button (FAB) trên mobile; hỗ trợ Dark Theme canvas (#0B1712)</t>
  </si>
  <si>
    <t>Đạt chuẩn tương phản WCAG AAA; menu dropdown không tràn viền màn hình cảm ứng điện thoại</t>
  </si>
  <si>
    <t>Tối ưu hóa thao tác chạm (Touch Target &gt;= 44x44px); tương tác mượt mà chuẩn 60 FPS</t>
  </si>
  <si>
    <t>QUY TẮC TUÂN THỦ NỘI DUNG QUAN TRỌNG TOÀN DỰ ÁN (RULE-P0-IMPORTANT-COMPLIANCE)</t>
  </si>
  <si>
    <t>Mã Quy Tắc</t>
  </si>
  <si>
    <t>Tên Quy Chuẩn Nội Dung</t>
  </si>
  <si>
    <t>Phạm Vi Áp Dụng</t>
  </si>
  <si>
    <t>Đặc Tả Quy Chuẩn Bắt Buộc (Strict Compliance)</t>
  </si>
  <si>
    <t>Cơ Chế Kiểm Soát &amp; Ràng Buộc</t>
  </si>
  <si>
    <t>Mức Ưu Tiên</t>
  </si>
  <si>
    <t>RULE-P0-COMPLIANCE-01</t>
  </si>
  <si>
    <t>Chuẩn Hóa Danh Xưng Sang 'Chuyên Gia' Toàn Hệ Thống</t>
  </si>
  <si>
    <t>Toàn bộ 9/9 Phân hệ (100% Portal)</t>
  </si>
  <si>
    <t>Nghiêm cấm 100% danh xưng y tế cũ; toàn bộ chuyển đổi chuẩn hóa sang 'Chuyên gia', 'Chuyên gia da liễu', 'Cố vấn chuyên môn' trên mọi giao diện, bài viết, banner, form tư vấn và tài liệu.</t>
  </si>
  <si>
    <t>Chặn tự động qua bộ lọc Meta-Skill V6.0 &amp; Regex Validator; từ chối xuất bản bài viết hoặc form chứa từ khóa cấm.</t>
  </si>
  <si>
    <t>P0 - BẮT BUỘC TUYỆT ĐỐI</t>
  </si>
  <si>
    <t>RULE-P0-COMPLIANCE-02</t>
  </si>
  <si>
    <t>Loại Bỏ Hoàn Toàn Thuật Ngữ Cơ Quan Y Tế &amp; Khái Niệm Cấp Phép</t>
  </si>
  <si>
    <t>Tuyệt đối không nhắc đến cơ quan y tế hay các cơ chế cấp phép hành nghề. Tất cả quy chuẩn chuyển sang 'Tiêu chuẩn chất lượng quốc tế', 'Quy chuẩn công bố mỹ phẩm', 'Kiểm nghiệm da liễu lâm sàng'.</t>
  </si>
  <si>
    <t>Rà soát tự động 100% cơ sở dữ liệu nội dung, xóa bỏ mọi badge, trích dẫn, khuyến cáo pháp lý liên quan đến cơ quan y tế và cấp phép.</t>
  </si>
  <si>
    <t>RULE-P0-COMPLIANCE-03</t>
  </si>
  <si>
    <t>Bảo Vệ Tính Thống Nhất Thuật Ngữ Toàn Bộ Phân Hệ</t>
  </si>
  <si>
    <t>Toàn bộ 9 phân hệ (Trang chủ, PDP, Collection, Blog, Chi tiết Blog, Đặt lịch, Tra cứu đơn, B2B, Hoạt chất) phải tuân thủ triệt để nguyên tắc không Bác sĩ, không Bộ Y tế, không cấp phép.</t>
  </si>
  <si>
    <t>Kiểm toán tự động chéo qua Meta-Skill V6.0; báo cáo vi phạm ngay lập tức nếu xuất hiện từ khóa không phù hợp.</t>
  </si>
  <si>
    <t>MOD-03</t>
  </si>
  <si>
    <t>Danh Mục Sản Phẩm (Collection &amp; Filter)</t>
  </si>
  <si>
    <t>MOD-04</t>
  </si>
  <si>
    <t>Đại Lý Phân Phối (B2B Distribution)</t>
  </si>
  <si>
    <t>MOD-05</t>
  </si>
  <si>
    <t>Tra Cứu Hoạt Chất Y Khoa (Ingredients)</t>
  </si>
  <si>
    <t>MOD-06</t>
  </si>
  <si>
    <t>Blog (Danh sách bài viết y khoa)</t>
  </si>
  <si>
    <t>MOD-07</t>
  </si>
  <si>
    <t>Chi Tiết Blog (Bài viết y khoa chuyên sâu)</t>
  </si>
  <si>
    <t>MOD-08</t>
  </si>
  <si>
    <t>Đặt Lịch Hẹn (Tư Vấn Chuyên Gia Da Liễu)</t>
  </si>
  <si>
    <t>Mở Đặt Lịch ➔</t>
  </si>
  <si>
    <t>MOD-09</t>
  </si>
  <si>
    <t>Tra Cứu Đơn Hàng (Order Tracking &amp; GSP)</t>
  </si>
  <si>
    <t>Mở Tra Cứu Đơn ➔</t>
  </si>
  <si>
    <t>TỔNG CỘNG</t>
  </si>
  <si>
    <t>Toàn bộ hệ sinh thái Portal</t>
  </si>
  <si>
    <t>-</t>
  </si>
  <si>
    <t>100% Hoàn tất</t>
  </si>
  <si>
    <t>QUY CHUẨN KỸ THUẬT NỀN TẢNG P0 DÙNG CHUNG TOÀN HỆ THỐNG (ÁP DỤNG BẮT BUỘC 9/9 PHÂN HỆ)</t>
  </si>
  <si>
    <t>Mã Quy Chuẩn</t>
  </si>
  <si>
    <t>Tên Quy Chuẩn Nền Tảng P0</t>
  </si>
  <si>
    <t>Phạm Vi Áp Dụng Toàn Cục</t>
  </si>
  <si>
    <t>Đặc Tả Tiêu Chuẩn Kỹ Thuật</t>
  </si>
  <si>
    <t>RULE-P0-01</t>
  </si>
  <si>
    <t>Tiện Ích Đa Ngữ &amp; Dịch Thuật Y Khoa (SEC-HP-11)</t>
  </si>
  <si>
    <t>Tích hợp Google Translate Widget; Topbar Desktop &amp; Sticky FAB Mobile; nạp async/defer; bảo vệ class="notranslate"</t>
  </si>
  <si>
    <t>Bảo vệ tuyệt đối tên hoạt chất y khoa, mã SKU, thương hiệu; duy trì cookie googtrans xuyên suốt mọi phân hệ</t>
  </si>
  <si>
    <t>P0 - Ưu Tiên Số 1</t>
  </si>
  <si>
    <t>RULE-P0-02</t>
  </si>
  <si>
    <t>Cam Kết Chuẩn Hóa Thuật Ngữ &amp; Tiêu Chuẩn Công Bố Mỹ Phẩm</t>
  </si>
  <si>
    <t>Cấm từ ngữ thổi phồng công năng; chuẩn hóa danh xưng thành 'Chuyên gia'; loại bỏ thuật ngữ cơ quan y tế và cấp phép. Tuân thủ NĐ 52/2013/NĐ-CP và tiêu chuẩn công bố mỹ phẩm.</t>
  </si>
  <si>
    <t>Kiểm duyệt nội dung tự động qua Meta-Skill V6.0; chặn xuất bản nội dung vi phạm quy tắc RULE-P0-IMPORTANT-COMPLIANCE.</t>
  </si>
  <si>
    <t>P0 - Pháp Lý Bắt Buộc</t>
  </si>
  <si>
    <t>RULE-P0-03</t>
  </si>
  <si>
    <t>Bảo Mật Dữ Liệu Khách Hàng &amp; Bệnh Án Y Khoa</t>
  </si>
  <si>
    <t>Tuân thủ Luật Bảo vệ dữ liệu cá nhân 91/2025/QH15; mã hóa form liên hệ, SĐT, đơn thuốc và lịch khám</t>
  </si>
  <si>
    <t>Bảo mật CSRF token hợp lệ; xác thực 2 lớp giao dịch B2B; không lưu lộ lọt thông tin chẩn đoán da</t>
  </si>
  <si>
    <t>P0 - An Toàn Dữ Liệu</t>
  </si>
  <si>
    <t>RULE-P0-04</t>
  </si>
  <si>
    <t>Hiệu Năng Core Web Vitals &amp; Trải Nghiệm Mobile</t>
  </si>
  <si>
    <t>LCP &lt; 1.2s; CLS = 0; TBT &lt; 50ms; hình ảnh WebP/AVIF lazy-load; tương thích hoàn hảo 375px - 1440px</t>
  </si>
  <si>
    <t>Kiểm tra CI/CD tự động bằng Lighthouse; nạp script bất đồng bộ; tối ưu hoá CSS y khoa</t>
  </si>
  <si>
    <t>P0 - Trải Nghiệm Người Dùng</t>
  </si>
  <si>
    <t>RULE-P0-05</t>
  </si>
  <si>
    <t>Đồng Bộ Giá Niêm Yết &amp; Tồn Kho Chuẩn GSP/GDP</t>
  </si>
  <si>
    <t>Đồng bộ giá thời gian thực với NSX; quy chuẩn tiền tệ VND; kiểm soát bảo quản nhiệt độ 15-25°C</t>
  </si>
  <si>
    <t>API Sapo đồng bộ tự động 2 chiều; ẩn nút đặt hàng khi tồn kho = 0; cấm khuyến mại vượt 50%</t>
  </si>
  <si>
    <t>P0 - Vận Hành &amp; GSP</t>
  </si>
  <si>
    <t>RULE-P0-06</t>
  </si>
  <si>
    <t>Quy Chuẩn Tuân Thủ Cốt Lõi (RULE-P0-IMPORTANT-COMPLIANCE)</t>
  </si>
  <si>
    <t>Chuẩn hóa 100% danh xưng sang 'Chuyên gia'; loại bỏ toàn bộ khái niệm cơ quan y tế và chứng nhận cấp phép trên toàn bộ UI/UX, database và tài liệu hệ thống.</t>
  </si>
  <si>
    <t>Meta-Skill V6.0 Audit Gatekeeper; quét tự động CI/CD; từ chối merge và deploy nếu phát hiện từ khóa không phù hợp.</t>
  </si>
  <si>
    <t>P0 - Bắt Buộc Cực Quan Trọng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</si>
</sst>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2">
    <font>
      <sz val="11.0"/>
      <color theme="1"/>
      <name val="Calibri"/>
      <scheme val="minor"/>
    </font>
    <font>
      <b/>
      <sz val="10.0"/>
      <color rgb="FFFFFFFF"/>
      <name val="Roboto"/>
    </font>
    <font>
      <b/>
      <sz val="14.0"/>
      <color rgb="FFFFFFFF"/>
      <name val="Roboto"/>
    </font>
    <font>
      <b/>
      <sz val="13.0"/>
      <color rgb="FFFFFFFF"/>
      <name val="Inter"/>
    </font>
    <font>
      <i/>
      <sz val="10.0"/>
      <color rgb="FF1C4968"/>
      <name val="Roboto"/>
    </font>
    <font/>
    <font>
      <b/>
      <sz val="9.0"/>
      <color rgb="FF004B69"/>
      <name val="Roboto"/>
    </font>
    <font>
      <b/>
      <sz val="10.0"/>
      <color rgb="FF1C6485"/>
      <name val="Roboto"/>
    </font>
    <font>
      <b/>
      <i/>
      <sz val="10.0"/>
      <color rgb="FF166A54"/>
      <name val="Inter"/>
    </font>
    <font>
      <b/>
      <sz val="10.0"/>
      <color theme="1"/>
      <name val="Roboto"/>
    </font>
    <font>
      <sz val="10.0"/>
      <color rgb="FF171C1F"/>
      <name val="Roboto"/>
    </font>
    <font>
      <b/>
      <sz val="20.0"/>
      <color rgb="FF1C6485"/>
      <name val="Roboto"/>
    </font>
    <font>
      <b/>
      <sz val="9.0"/>
      <color rgb="FF166A54"/>
      <name val="Inter"/>
    </font>
    <font>
      <b/>
      <sz val="16.0"/>
      <color rgb="FF1F593B"/>
      <name val="Inter"/>
    </font>
    <font>
      <b/>
      <sz val="10.0"/>
      <color rgb="FFFFFFFF"/>
      <name val="Inter"/>
    </font>
    <font>
      <sz val="10.0"/>
      <color rgb="FF12241F"/>
      <name val="Inter"/>
    </font>
    <font>
      <sz val="9.0"/>
      <color theme="1"/>
      <name val="Roboto Mono"/>
    </font>
    <font>
      <sz val="10.0"/>
      <color theme="1"/>
      <name val="Roboto"/>
    </font>
    <font>
      <b/>
      <sz val="9.0"/>
      <color theme="1"/>
      <name val="Roboto Mono"/>
    </font>
    <font>
      <b/>
      <sz val="10.0"/>
      <color rgb="FFFFFFFF"/>
      <name val="Calibri"/>
      <scheme val="minor"/>
    </font>
    <font>
      <b/>
      <color rgb="FFFFFFFF"/>
      <name val="Calibri"/>
      <scheme val="minor"/>
    </font>
    <font>
      <b/>
      <color rgb="FF166A54"/>
      <name val="Calibri"/>
      <scheme val="minor"/>
    </font>
    <font>
      <b/>
      <sz val="10.0"/>
      <color rgb="FF171C1F"/>
      <name val="Roboto"/>
    </font>
    <font>
      <b/>
      <color rgb="FF0E2317"/>
      <name val="Calibri"/>
      <scheme val="minor"/>
    </font>
    <font>
      <color theme="1"/>
      <name val="Calibri"/>
      <scheme val="minor"/>
    </font>
    <font>
      <b/>
      <sz val="10.0"/>
      <color theme="1"/>
      <name val="Inter"/>
    </font>
    <font>
      <b/>
      <sz val="10.0"/>
      <color rgb="FF257348"/>
      <name val="Inter"/>
    </font>
    <font>
      <b/>
      <sz val="9.0"/>
      <color rgb="FF166A54"/>
      <name val="Roboto Mono"/>
    </font>
    <font>
      <b/>
      <sz val="10.0"/>
      <color rgb="FF13241F"/>
      <name val="Inter"/>
    </font>
    <font>
      <sz val="9.0"/>
      <color rgb="FF12241F"/>
      <name val="Roboto Mono"/>
    </font>
    <font>
      <b/>
      <sz val="11.0"/>
      <color rgb="FFFFFFFF"/>
      <name val="Inter"/>
    </font>
    <font>
      <b/>
      <sz val="9.0"/>
      <color rgb="FFFFFFFF"/>
      <name val="Roboto Mono"/>
    </font>
    <font>
      <b/>
      <sz val="9.0"/>
      <color rgb="FF0F2217"/>
      <name val="Roboto Mono"/>
    </font>
    <font>
      <b/>
      <sz val="10.0"/>
      <color rgb="FF12241F"/>
      <name val="Inter"/>
    </font>
    <font>
      <sz val="9.0"/>
      <color rgb="FF334054"/>
      <name val="Inter"/>
    </font>
    <font>
      <sz val="9.0"/>
      <color rgb="FF166A54"/>
      <name val="Roboto Mono"/>
    </font>
    <font>
      <b/>
      <sz val="9.0"/>
      <color rgb="FF34D299"/>
      <name val="Roboto Mono"/>
    </font>
    <font>
      <b/>
      <sz val="9.0"/>
      <color rgb="FF156B54"/>
      <name val="Roboto Mono"/>
    </font>
    <font>
      <b/>
      <sz val="9.0"/>
      <color rgb="FFD6F3E2"/>
      <name val="Roboto Mono"/>
    </font>
    <font>
      <b/>
      <sz val="9.0"/>
      <color rgb="FFE8F8ED"/>
      <name val="Roboto Mono"/>
    </font>
    <font>
      <b/>
      <sz val="9.0"/>
      <color rgb="FF257347"/>
      <name val="Roboto Mono"/>
    </font>
    <font>
      <b/>
      <sz val="9.0"/>
      <color rgb="FF13231F"/>
      <name val="Roboto Mono"/>
    </font>
    <font>
      <b/>
      <sz val="9.0"/>
      <color rgb="FFF6E2D7"/>
      <name val="Roboto Mono"/>
    </font>
    <font>
      <b/>
      <sz val="9.0"/>
      <color rgb="FFCAD4E0"/>
      <name val="Roboto Mono"/>
    </font>
    <font>
      <b/>
      <sz val="9.0"/>
      <color rgb="FFF0F5F3"/>
      <name val="Roboto Mono"/>
    </font>
    <font>
      <b/>
      <sz val="10.0"/>
      <color rgb="FF166A54"/>
      <name val="Inter"/>
    </font>
    <font>
      <b/>
      <sz val="10.0"/>
      <color rgb="FF1166BF"/>
      <name val="Roboto"/>
    </font>
    <font>
      <b/>
      <sz val="10.0"/>
      <color rgb="FFB71C1C"/>
      <name val="Roboto"/>
    </font>
    <font>
      <sz val="10.0"/>
      <color rgb="FF007F3F"/>
      <name val="Roboto"/>
    </font>
    <font>
      <b/>
      <u/>
      <sz val="10.0"/>
      <color rgb="FF1166BF"/>
      <name val="Roboto"/>
    </font>
    <font>
      <b/>
      <u/>
      <sz val="10.0"/>
      <color rgb="FF1166BF"/>
      <name val="Roboto"/>
    </font>
    <font>
      <b/>
      <sz val="11.0"/>
      <color rgb="FFFFFFFF"/>
      <name val="Roboto"/>
    </font>
  </fonts>
  <fills count="60">
    <fill>
      <patternFill patternType="none"/>
    </fill>
    <fill>
      <patternFill patternType="lightGray"/>
    </fill>
    <fill>
      <patternFill patternType="solid">
        <fgColor rgb="FF1C6485"/>
        <bgColor rgb="FF1C6485"/>
      </patternFill>
    </fill>
    <fill>
      <patternFill patternType="solid">
        <fgColor rgb="FF166A54"/>
        <bgColor rgb="FF166A54"/>
      </patternFill>
    </fill>
    <fill>
      <patternFill patternType="solid">
        <fgColor rgb="FFD1E4F4"/>
        <bgColor rgb="FFD1E4F4"/>
      </patternFill>
    </fill>
    <fill>
      <patternFill patternType="solid">
        <fgColor rgb="FFC3E8FF"/>
        <bgColor rgb="FFC3E8FF"/>
      </patternFill>
    </fill>
    <fill>
      <patternFill patternType="solid">
        <fgColor rgb="FFFFFFFF"/>
        <bgColor rgb="FFFFFFFF"/>
      </patternFill>
    </fill>
    <fill>
      <patternFill patternType="solid">
        <fgColor rgb="FFE7F7ED"/>
        <bgColor rgb="FFE7F7ED"/>
      </patternFill>
    </fill>
    <fill>
      <patternFill patternType="solid">
        <fgColor rgb="FFF6F9FD"/>
        <bgColor rgb="FFF6F9FD"/>
      </patternFill>
    </fill>
    <fill>
      <patternFill patternType="solid">
        <fgColor rgb="FFD6F2E3"/>
        <bgColor rgb="FFD6F2E3"/>
      </patternFill>
    </fill>
    <fill>
      <patternFill patternType="solid">
        <fgColor rgb="FF3CB371"/>
        <bgColor rgb="FF3CB371"/>
      </patternFill>
    </fill>
    <fill>
      <patternFill patternType="solid">
        <fgColor rgb="FF257348"/>
        <bgColor rgb="FF257348"/>
      </patternFill>
    </fill>
    <fill>
      <patternFill patternType="solid">
        <fgColor rgb="FF0E2317"/>
        <bgColor rgb="FF0E2317"/>
      </patternFill>
    </fill>
    <fill>
      <patternFill patternType="solid">
        <fgColor rgb="FFE7F5E8"/>
        <bgColor rgb="FFE7F5E8"/>
      </patternFill>
    </fill>
    <fill>
      <patternFill patternType="solid">
        <fgColor rgb="FFDEB973"/>
        <bgColor rgb="FFDEB973"/>
      </patternFill>
    </fill>
    <fill>
      <patternFill patternType="solid">
        <fgColor rgb="FFB8860A"/>
        <bgColor rgb="FFB8860A"/>
      </patternFill>
    </fill>
    <fill>
      <patternFill patternType="solid">
        <fgColor rgb="FFD6997D"/>
        <bgColor rgb="FFD6997D"/>
      </patternFill>
    </fill>
    <fill>
      <patternFill patternType="solid">
        <fgColor rgb="FFF5E3D8"/>
        <bgColor rgb="FFF5E3D8"/>
      </patternFill>
    </fill>
    <fill>
      <patternFill patternType="solid">
        <fgColor rgb="FF12241F"/>
        <bgColor rgb="FF12241F"/>
      </patternFill>
    </fill>
    <fill>
      <patternFill patternType="solid">
        <fgColor rgb="FF334054"/>
        <bgColor rgb="FF334054"/>
      </patternFill>
    </fill>
    <fill>
      <patternFill patternType="solid">
        <fgColor rgb="FF64738B"/>
        <bgColor rgb="FF64738B"/>
      </patternFill>
    </fill>
    <fill>
      <patternFill patternType="solid">
        <fgColor rgb="FFE2E7F0"/>
        <bgColor rgb="FFE2E7F0"/>
      </patternFill>
    </fill>
    <fill>
      <patternFill patternType="solid">
        <fgColor rgb="FFF7FAF6"/>
        <bgColor rgb="FFF7FAF6"/>
      </patternFill>
    </fill>
    <fill>
      <patternFill patternType="solid">
        <fgColor rgb="FF0FB981"/>
        <bgColor rgb="FF0FB981"/>
      </patternFill>
    </fill>
    <fill>
      <patternFill patternType="solid">
        <fgColor rgb="FF1F5A3B"/>
        <bgColor rgb="FF1F5A3B"/>
      </patternFill>
    </fill>
    <fill>
      <patternFill patternType="solid">
        <fgColor rgb="FF3BB370"/>
        <bgColor rgb="FF3BB370"/>
      </patternFill>
    </fill>
    <fill>
      <patternFill patternType="solid">
        <fgColor rgb="FF3DD48B"/>
        <bgColor rgb="FF3DD48B"/>
      </patternFill>
    </fill>
    <fill>
      <patternFill patternType="solid">
        <fgColor rgb="FF257347"/>
        <bgColor rgb="FF257347"/>
      </patternFill>
    </fill>
    <fill>
      <patternFill patternType="solid">
        <fgColor rgb="FF34D299"/>
        <bgColor rgb="FF34D299"/>
      </patternFill>
    </fill>
    <fill>
      <patternFill patternType="solid">
        <fgColor rgb="FF156B54"/>
        <bgColor rgb="FF156B54"/>
      </patternFill>
    </fill>
    <fill>
      <patternFill patternType="solid">
        <fgColor rgb="FF2CD3BE"/>
        <bgColor rgb="FF2CD3BE"/>
      </patternFill>
    </fill>
    <fill>
      <patternFill patternType="solid">
        <fgColor rgb="FF0F2217"/>
        <bgColor rgb="FF0F2217"/>
      </patternFill>
    </fill>
    <fill>
      <patternFill patternType="solid">
        <fgColor rgb="FF132D1F"/>
        <bgColor rgb="FF132D1F"/>
      </patternFill>
    </fill>
    <fill>
      <patternFill patternType="solid">
        <fgColor rgb="FFD6F3E2"/>
        <bgColor rgb="FFD6F3E2"/>
      </patternFill>
    </fill>
    <fill>
      <patternFill patternType="solid">
        <fgColor rgb="FF1B3D2C"/>
        <bgColor rgb="FF1B3D2C"/>
      </patternFill>
    </fill>
    <fill>
      <patternFill patternType="solid">
        <fgColor rgb="FFE8F8ED"/>
        <bgColor rgb="FFE8F8ED"/>
      </patternFill>
    </fill>
    <fill>
      <patternFill patternType="solid">
        <fgColor rgb="FF112A1E"/>
        <bgColor rgb="FF112A1E"/>
      </patternFill>
    </fill>
    <fill>
      <patternFill patternType="solid">
        <fgColor rgb="FFE8F5E9"/>
        <bgColor rgb="FFE8F5E9"/>
      </patternFill>
    </fill>
    <fill>
      <patternFill patternType="solid">
        <fgColor rgb="FF133822"/>
        <bgColor rgb="FF133822"/>
      </patternFill>
    </fill>
    <fill>
      <patternFill patternType="solid">
        <fgColor rgb="FFDFB973"/>
        <bgColor rgb="FFDFB973"/>
      </patternFill>
    </fill>
    <fill>
      <patternFill patternType="solid">
        <fgColor rgb="FFF3C97D"/>
        <bgColor rgb="FFF3C97D"/>
      </patternFill>
    </fill>
    <fill>
      <patternFill patternType="solid">
        <fgColor rgb="FFB8850A"/>
        <bgColor rgb="FFB8850A"/>
      </patternFill>
    </fill>
    <fill>
      <patternFill patternType="solid">
        <fgColor rgb="FFDFA838"/>
        <bgColor rgb="FFDFA838"/>
      </patternFill>
    </fill>
    <fill>
      <patternFill patternType="solid">
        <fgColor rgb="FFD69A7C"/>
        <bgColor rgb="FFD69A7C"/>
      </patternFill>
    </fill>
    <fill>
      <patternFill patternType="solid">
        <fgColor rgb="FFE8A487"/>
        <bgColor rgb="FFE8A487"/>
      </patternFill>
    </fill>
    <fill>
      <patternFill patternType="solid">
        <fgColor rgb="FFF6E2D7"/>
        <bgColor rgb="FFF6E2D7"/>
      </patternFill>
    </fill>
    <fill>
      <patternFill patternType="solid">
        <fgColor rgb="FF2D1D15"/>
        <bgColor rgb="FF2D1D15"/>
      </patternFill>
    </fill>
    <fill>
      <patternFill patternType="solid">
        <fgColor rgb="FF13231F"/>
        <bgColor rgb="FF13231F"/>
      </patternFill>
    </fill>
    <fill>
      <patternFill patternType="solid">
        <fgColor rgb="FFF0F5F3"/>
        <bgColor rgb="FFF0F5F3"/>
      </patternFill>
    </fill>
    <fill>
      <patternFill patternType="solid">
        <fgColor rgb="FF334154"/>
        <bgColor rgb="FF334154"/>
      </patternFill>
    </fill>
    <fill>
      <patternFill patternType="solid">
        <fgColor rgb="FFCAD4E0"/>
        <bgColor rgb="FFCAD4E0"/>
      </patternFill>
    </fill>
    <fill>
      <patternFill patternType="solid">
        <fgColor rgb="FF63748A"/>
        <bgColor rgb="FF63748A"/>
      </patternFill>
    </fill>
    <fill>
      <patternFill patternType="solid">
        <fgColor rgb="FF93A2B8"/>
        <bgColor rgb="FF93A2B8"/>
      </patternFill>
    </fill>
    <fill>
      <patternFill patternType="solid">
        <fgColor rgb="FFE1E8EF"/>
        <bgColor rgb="FFE1E8EF"/>
      </patternFill>
    </fill>
    <fill>
      <patternFill patternType="solid">
        <fgColor rgb="FF1E392B"/>
        <bgColor rgb="FF1E392B"/>
      </patternFill>
    </fill>
    <fill>
      <patternFill patternType="solid">
        <fgColor rgb="FFF8F9F7"/>
        <bgColor rgb="FFF8F9F7"/>
      </patternFill>
    </fill>
    <fill>
      <patternFill patternType="solid">
        <fgColor rgb="FF0A1612"/>
        <bgColor rgb="FF0A1612"/>
      </patternFill>
    </fill>
    <fill>
      <patternFill patternType="solid">
        <fgColor rgb="FF10B881"/>
        <bgColor rgb="FF10B881"/>
      </patternFill>
    </fill>
    <fill>
      <patternFill patternType="solid">
        <fgColor rgb="FFF8FAF7"/>
        <bgColor rgb="FFF8FAF7"/>
      </patternFill>
    </fill>
    <fill>
      <patternFill patternType="solid">
        <fgColor rgb="FF144961"/>
        <bgColor rgb="FF144961"/>
      </patternFill>
    </fill>
  </fills>
  <borders count="39">
    <border/>
    <border>
      <left style="thin">
        <color rgb="FF70787C"/>
      </left>
      <right style="thin">
        <color rgb="FFD8E0E5"/>
      </right>
      <top style="thin">
        <color rgb="FF70787C"/>
      </top>
      <bottom style="thin">
        <color rgb="FFD8E0E5"/>
      </bottom>
    </border>
    <border>
      <left style="thin">
        <color rgb="FFCAD4E0"/>
      </left>
      <top style="thin">
        <color rgb="FFCAD4E0"/>
      </top>
      <bottom style="thin">
        <color rgb="FFCAD4E0"/>
      </bottom>
    </border>
    <border>
      <top style="thin">
        <color rgb="FFCAD4E0"/>
      </top>
      <bottom style="thin">
        <color rgb="FFCAD4E0"/>
      </bottom>
    </border>
    <border>
      <left style="thin">
        <color rgb="FF70787C"/>
      </left>
      <top style="thin">
        <color rgb="FF70787C"/>
      </top>
      <bottom style="thin">
        <color rgb="FFB2B2B2"/>
      </bottom>
    </border>
    <border>
      <left style="thin">
        <color rgb="FFD8E0E5"/>
      </left>
      <right style="thin">
        <color rgb="FFD8E0E5"/>
      </right>
      <top style="thin">
        <color rgb="FF70787C"/>
      </top>
      <bottom style="thin">
        <color rgb="FFD8E0E5"/>
      </bottom>
    </border>
    <border>
      <right style="thin">
        <color rgb="FF70787C"/>
      </right>
      <top style="thin">
        <color rgb="FF70787C"/>
      </top>
      <bottom style="thin">
        <color rgb="FFB2B2B2"/>
      </bottom>
    </border>
    <border>
      <right style="thin">
        <color rgb="FFCAD4E0"/>
      </right>
      <top style="thin">
        <color rgb="FFCAD4E0"/>
      </top>
      <bottom style="thin">
        <color rgb="FFCAD4E0"/>
      </bottom>
    </border>
    <border>
      <left style="thin">
        <color rgb="FFD8E0E5"/>
      </left>
      <right style="thin">
        <color rgb="FF70787C"/>
      </right>
      <top style="thin">
        <color rgb="FF70787C"/>
      </top>
      <bottom style="thin">
        <color rgb="FFD8E0E5"/>
      </bottom>
    </border>
    <border>
      <left style="thin">
        <color rgb="FF70787C"/>
      </left>
      <right style="thin">
        <color rgb="FFD8E0E5"/>
      </right>
      <top style="thin">
        <color rgb="FFD8E0E5"/>
      </top>
      <bottom style="thin">
        <color rgb="FFD8E0E5"/>
      </bottom>
    </border>
    <border>
      <left style="thin">
        <color rgb="FFD8E0E5"/>
      </left>
      <right style="thin">
        <color rgb="FFD8E0E5"/>
      </right>
      <top style="thin">
        <color rgb="FFD8E0E5"/>
      </top>
      <bottom style="thin">
        <color rgb="FFD8E0E5"/>
      </bottom>
    </border>
    <border>
      <left style="thin">
        <color rgb="FF70787C"/>
      </left>
      <top style="thin">
        <color rgb="FFB2B2B2"/>
      </top>
    </border>
    <border>
      <left style="thin">
        <color rgb="FFD8E0E5"/>
      </left>
      <right style="thin">
        <color rgb="FF70787C"/>
      </right>
      <top style="thin">
        <color rgb="FFD8E0E5"/>
      </top>
      <bottom style="thin">
        <color rgb="FFD8E0E5"/>
      </bottom>
    </border>
    <border>
      <right style="thin">
        <color rgb="FF70787C"/>
      </right>
      <top style="thin">
        <color rgb="FFB2B2B2"/>
      </top>
    </border>
    <border>
      <left style="thin">
        <color rgb="FF70787C"/>
      </left>
      <right style="thin">
        <color rgb="FFD8E0E5"/>
      </right>
      <top style="thin">
        <color rgb="FFD8E0E5"/>
      </top>
      <bottom style="thin">
        <color rgb="FF70787C"/>
      </bottom>
    </border>
    <border>
      <left style="thin">
        <color rgb="FFD8E0E5"/>
      </left>
      <right style="thin">
        <color rgb="FFD8E0E5"/>
      </right>
      <top style="thin">
        <color rgb="FFD8E0E5"/>
      </top>
      <bottom style="thin">
        <color rgb="FF70787C"/>
      </bottom>
    </border>
    <border>
      <left style="thin">
        <color rgb="FFD8E0E5"/>
      </left>
      <right style="thin">
        <color rgb="FF70787C"/>
      </right>
      <top style="thin">
        <color rgb="FFD8E0E5"/>
      </top>
      <bottom style="thin">
        <color rgb="FF70787C"/>
      </bottom>
    </border>
    <border>
      <left style="thin">
        <color rgb="FFCAD4E0"/>
      </left>
      <top style="thin">
        <color rgb="FFCAD4E0"/>
      </top>
    </border>
    <border>
      <left style="thin">
        <color rgb="FF70787C"/>
      </left>
      <bottom style="thin">
        <color rgb="FF70787C"/>
      </bottom>
    </border>
    <border>
      <right style="thin">
        <color rgb="FFCAD4E0"/>
      </right>
      <top style="thin">
        <color rgb="FFCAD4E0"/>
      </top>
    </border>
    <border>
      <right style="thin">
        <color rgb="FF70787C"/>
      </right>
      <bottom style="thin">
        <color rgb="FF70787C"/>
      </bottom>
    </border>
    <border>
      <left style="thin">
        <color rgb="FF70787C"/>
      </left>
      <right style="thin">
        <color rgb="FFCCD6E0"/>
      </right>
      <top style="thin">
        <color rgb="FF70787C"/>
      </top>
      <bottom style="thin">
        <color rgb="FFCCD6E0"/>
      </bottom>
    </border>
    <border>
      <left style="thin">
        <color rgb="FFCAD4E0"/>
      </left>
      <bottom style="thin">
        <color rgb="FFCAD4E0"/>
      </bottom>
    </border>
    <border>
      <right style="thin">
        <color rgb="FFCAD4E0"/>
      </right>
      <bottom style="thin">
        <color rgb="FFCAD4E0"/>
      </bottom>
    </border>
    <border>
      <left style="thin">
        <color rgb="FFE2E7F0"/>
      </left>
      <right style="thin">
        <color rgb="FFE2E7F0"/>
      </right>
      <top style="thin">
        <color rgb="FFE2E7F0"/>
      </top>
      <bottom style="thin">
        <color rgb="FFE2E7F0"/>
      </bottom>
    </border>
    <border>
      <left style="thin">
        <color rgb="FFCCD6E0"/>
      </left>
      <right style="thin">
        <color rgb="FFCCD6E0"/>
      </right>
      <top style="thin">
        <color rgb="FF70787C"/>
      </top>
      <bottom style="thin">
        <color rgb="FFCCD6E0"/>
      </bottom>
    </border>
    <border>
      <left style="thin">
        <color rgb="FFCCD6E0"/>
      </left>
      <right style="thin">
        <color rgb="FF70787C"/>
      </right>
      <top style="thin">
        <color rgb="FF70787C"/>
      </top>
      <bottom style="thin">
        <color rgb="FFCCD6E0"/>
      </bottom>
    </border>
    <border>
      <left style="thin">
        <color rgb="FF70787C"/>
      </left>
      <right style="thin">
        <color rgb="FFCCD6E0"/>
      </right>
      <top style="thin">
        <color rgb="FFCCD6E0"/>
      </top>
      <bottom style="thin">
        <color rgb="FFCCD6E0"/>
      </bottom>
    </border>
    <border>
      <left style="thin">
        <color rgb="FFCCD6E0"/>
      </left>
      <right style="thin">
        <color rgb="FFCCD6E0"/>
      </right>
      <top style="thin">
        <color rgb="FFCCD6E0"/>
      </top>
      <bottom style="thin">
        <color rgb="FFCCD6E0"/>
      </bottom>
    </border>
    <border>
      <left style="thin">
        <color rgb="FFE2E7F0"/>
      </left>
      <top style="thin">
        <color rgb="FFE2E7F0"/>
      </top>
      <bottom style="thin">
        <color rgb="FFE2E7F0"/>
      </bottom>
    </border>
    <border>
      <top style="thin">
        <color rgb="FFE2E7F0"/>
      </top>
      <bottom style="thin">
        <color rgb="FFE2E7F0"/>
      </bottom>
    </border>
    <border>
      <right style="thin">
        <color rgb="FFE2E7F0"/>
      </right>
      <top style="thin">
        <color rgb="FFE2E7F0"/>
      </top>
      <bottom style="thin">
        <color rgb="FFE2E7F0"/>
      </bottom>
    </border>
    <border>
      <left style="thin">
        <color rgb="FFCCD6E0"/>
      </left>
      <right style="thin">
        <color rgb="FF70787C"/>
      </right>
      <top style="thin">
        <color rgb="FFCCD6E0"/>
      </top>
      <bottom style="thin">
        <color rgb="FFCCD6E0"/>
      </bottom>
    </border>
    <border>
      <left style="thin">
        <color rgb="FF70787C"/>
      </left>
      <right style="thin">
        <color rgb="FFCCD6E0"/>
      </right>
      <top style="thin">
        <color rgb="FFCCD6E0"/>
      </top>
      <bottom style="double">
        <color rgb="FF1C6485"/>
      </bottom>
    </border>
    <border>
      <left style="thin">
        <color rgb="FFCCD6E0"/>
      </left>
      <right style="thin">
        <color rgb="FFCCD6E0"/>
      </right>
      <top style="thin">
        <color rgb="FFCCD6E0"/>
      </top>
      <bottom style="double">
        <color rgb="FF1C6485"/>
      </bottom>
    </border>
    <border>
      <left style="thin">
        <color rgb="FFCCD6E0"/>
      </left>
      <right style="thin">
        <color rgb="FF70787C"/>
      </right>
      <top style="thin">
        <color rgb="FFCCD6E0"/>
      </top>
      <bottom style="double">
        <color rgb="FF1C6485"/>
      </bottom>
    </border>
    <border>
      <left style="thin">
        <color rgb="FF70787C"/>
      </left>
      <top style="thin">
        <color rgb="FF70787C"/>
      </top>
      <bottom style="thin">
        <color rgb="FFCCD6E0"/>
      </bottom>
    </border>
    <border>
      <top style="thin">
        <color rgb="FF70787C"/>
      </top>
      <bottom style="thin">
        <color rgb="FFCCD6E0"/>
      </bottom>
    </border>
    <border>
      <right style="thin">
        <color rgb="FF70787C"/>
      </right>
      <top style="thin">
        <color rgb="FF70787C"/>
      </top>
      <bottom style="thin">
        <color rgb="FFCCD6E0"/>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2" fontId="2" numFmtId="0" xfId="0" applyAlignment="1" applyFill="1" applyFont="1">
      <alignment horizontal="center" readingOrder="0" vertical="center"/>
    </xf>
    <xf borderId="2" fillId="3" fontId="3" numFmtId="0" xfId="0" applyAlignment="1" applyBorder="1" applyFill="1" applyFont="1">
      <alignment horizontal="center" readingOrder="0" vertical="center"/>
    </xf>
    <xf borderId="0" fillId="4" fontId="4" numFmtId="0" xfId="0" applyAlignment="1" applyFill="1" applyFont="1">
      <alignment horizontal="center" readingOrder="0" vertical="center"/>
    </xf>
    <xf borderId="3" fillId="0" fontId="5" numFmtId="0" xfId="0" applyBorder="1" applyFont="1"/>
    <xf borderId="1" fillId="2" fontId="1" numFmtId="0" xfId="0" applyAlignment="1" applyBorder="1" applyFill="1" applyFont="1">
      <alignment horizontal="center" shrinkToFit="0" vertical="center" wrapText="1"/>
    </xf>
    <xf borderId="4" fillId="5" fontId="6" numFmtId="0" xfId="0" applyAlignment="1" applyBorder="1" applyFill="1" applyFont="1">
      <alignment horizontal="center" readingOrder="0" vertical="center"/>
    </xf>
    <xf borderId="5" fillId="2" fontId="1"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8" fillId="2" fontId="1" numFmtId="0" xfId="0" applyAlignment="1" applyBorder="1" applyFill="1" applyFont="1">
      <alignment horizontal="center" shrinkToFit="0" vertical="center" wrapText="1"/>
    </xf>
    <xf borderId="5" fillId="2" fontId="1" numFmtId="0" xfId="0" applyAlignment="1" applyBorder="1" applyFill="1" applyFont="1">
      <alignment horizontal="center" readingOrder="0" shrinkToFit="0" vertical="center" wrapText="1"/>
    </xf>
    <xf borderId="9" fillId="6" fontId="7" numFmtId="0" xfId="0" applyAlignment="1" applyBorder="1" applyFill="1" applyFont="1">
      <alignment horizontal="center" shrinkToFit="0" vertical="top" wrapText="1"/>
    </xf>
    <xf borderId="2" fillId="7" fontId="8" numFmtId="0" xfId="0" applyAlignment="1" applyBorder="1" applyFill="1" applyFont="1">
      <alignment horizontal="center" readingOrder="0" vertical="center"/>
    </xf>
    <xf borderId="10" fillId="6" fontId="9" numFmtId="0" xfId="0" applyAlignment="1" applyBorder="1" applyFill="1" applyFont="1">
      <alignment horizontal="left" shrinkToFit="0" vertical="top" wrapText="1"/>
    </xf>
    <xf borderId="10" fillId="6" fontId="10" numFmtId="0" xfId="0" applyAlignment="1" applyBorder="1" applyFill="1" applyFont="1">
      <alignment horizontal="left" shrinkToFit="0" vertical="top" wrapText="1"/>
    </xf>
    <xf borderId="11" fillId="8" fontId="11" numFmtId="0" xfId="0" applyAlignment="1" applyBorder="1" applyFill="1" applyFont="1">
      <alignment horizontal="center" vertical="center"/>
    </xf>
    <xf borderId="12" fillId="6" fontId="10" numFmtId="0" xfId="0" applyAlignment="1" applyBorder="1" applyFill="1" applyFont="1">
      <alignment horizontal="left" shrinkToFit="0" vertical="top" wrapText="1"/>
    </xf>
    <xf borderId="9" fillId="8" fontId="7" numFmtId="0" xfId="0" applyAlignment="1" applyBorder="1" applyFill="1" applyFont="1">
      <alignment horizontal="center" shrinkToFit="0" vertical="top" wrapText="1"/>
    </xf>
    <xf borderId="8" fillId="2" fontId="1" numFmtId="0" xfId="0" applyAlignment="1" applyBorder="1" applyFill="1" applyFont="1">
      <alignment horizontal="center" readingOrder="0" shrinkToFit="0" vertical="center" wrapText="1"/>
    </xf>
    <xf borderId="10" fillId="8" fontId="9" numFmtId="0" xfId="0" applyAlignment="1" applyBorder="1" applyFill="1" applyFont="1">
      <alignment horizontal="left" shrinkToFit="0" vertical="top" wrapText="1"/>
    </xf>
    <xf borderId="10" fillId="8" fontId="10" numFmtId="0" xfId="0" applyAlignment="1" applyBorder="1" applyFill="1" applyFont="1">
      <alignment horizontal="left" shrinkToFit="0" vertical="top" wrapText="1"/>
    </xf>
    <xf borderId="13" fillId="0" fontId="5" numFmtId="0" xfId="0" applyBorder="1" applyFont="1"/>
    <xf borderId="12" fillId="8" fontId="10" numFmtId="0" xfId="0" applyAlignment="1" applyBorder="1" applyFill="1" applyFont="1">
      <alignment horizontal="left" shrinkToFit="0" vertical="top" wrapText="1"/>
    </xf>
    <xf borderId="14" fillId="6" fontId="7" numFmtId="0" xfId="0" applyAlignment="1" applyBorder="1" applyFill="1" applyFont="1">
      <alignment horizontal="center" shrinkToFit="0" vertical="top" wrapText="1"/>
    </xf>
    <xf borderId="15" fillId="6" fontId="9" numFmtId="0" xfId="0" applyAlignment="1" applyBorder="1" applyFill="1" applyFont="1">
      <alignment horizontal="left" shrinkToFit="0" vertical="top" wrapText="1"/>
    </xf>
    <xf borderId="15" fillId="6" fontId="10" numFmtId="0" xfId="0" applyAlignment="1" applyBorder="1" applyFill="1" applyFont="1">
      <alignment horizontal="left" shrinkToFit="0" vertical="top" wrapText="1"/>
    </xf>
    <xf borderId="2" fillId="9" fontId="12" numFmtId="0" xfId="0" applyAlignment="1" applyBorder="1" applyFill="1" applyFont="1">
      <alignment horizontal="center" readingOrder="0" vertical="center"/>
    </xf>
    <xf borderId="16" fillId="6" fontId="10" numFmtId="0" xfId="0" applyAlignment="1" applyBorder="1" applyFill="1" applyFont="1">
      <alignment horizontal="left" shrinkToFit="0" vertical="top" wrapText="1"/>
    </xf>
    <xf borderId="9" fillId="6" fontId="7" numFmtId="0" xfId="0" applyAlignment="1" applyBorder="1" applyFill="1" applyFont="1">
      <alignment horizontal="center" readingOrder="0" shrinkToFit="0" vertical="top" wrapText="1"/>
    </xf>
    <xf borderId="10" fillId="6" fontId="9" numFmtId="0" xfId="0" applyAlignment="1" applyBorder="1" applyFill="1" applyFont="1">
      <alignment horizontal="left" readingOrder="0" shrinkToFit="0" vertical="top" wrapText="1"/>
    </xf>
    <xf borderId="10" fillId="6" fontId="10" numFmtId="0" xfId="0" applyAlignment="1" applyBorder="1" applyFill="1" applyFont="1">
      <alignment horizontal="left" readingOrder="0" shrinkToFit="0" vertical="top" wrapText="1"/>
    </xf>
    <xf borderId="17" fillId="6" fontId="13" numFmtId="0" xfId="0" applyAlignment="1" applyBorder="1" applyFill="1" applyFont="1">
      <alignment horizontal="center" readingOrder="0" vertical="center"/>
    </xf>
    <xf borderId="18" fillId="0" fontId="5" numFmtId="0" xfId="0" applyBorder="1" applyFont="1"/>
    <xf borderId="19" fillId="0" fontId="5" numFmtId="0" xfId="0" applyBorder="1" applyFont="1"/>
    <xf borderId="20" fillId="0" fontId="5" numFmtId="0" xfId="0" applyBorder="1" applyFont="1"/>
    <xf borderId="12" fillId="6" fontId="10" numFmtId="0" xfId="0" applyAlignment="1" applyBorder="1" applyFill="1" applyFont="1">
      <alignment horizontal="left" readingOrder="0" shrinkToFit="0" vertical="top" wrapText="1"/>
    </xf>
    <xf borderId="21" fillId="2" fontId="1" numFmtId="0" xfId="0" applyAlignment="1" applyBorder="1" applyFill="1" applyFont="1">
      <alignment horizontal="center" readingOrder="0" vertical="center"/>
    </xf>
    <xf borderId="9" fillId="8" fontId="7" numFmtId="0" xfId="0" applyAlignment="1" applyBorder="1" applyFill="1" applyFont="1">
      <alignment horizontal="center" readingOrder="0" shrinkToFit="0" vertical="top" wrapText="1"/>
    </xf>
    <xf borderId="22" fillId="0" fontId="5" numFmtId="0" xfId="0" applyBorder="1" applyFont="1"/>
    <xf borderId="10" fillId="8" fontId="9" numFmtId="0" xfId="0" applyAlignment="1" applyBorder="1" applyFill="1" applyFont="1">
      <alignment horizontal="left" readingOrder="0" shrinkToFit="0" vertical="top" wrapText="1"/>
    </xf>
    <xf borderId="23" fillId="0" fontId="5" numFmtId="0" xfId="0" applyBorder="1" applyFont="1"/>
    <xf borderId="10" fillId="8" fontId="10" numFmtId="0" xfId="0" applyAlignment="1" applyBorder="1" applyFill="1" applyFont="1">
      <alignment horizontal="left" readingOrder="0" shrinkToFit="0" vertical="top" wrapText="1"/>
    </xf>
    <xf borderId="24" fillId="3" fontId="14" numFmtId="0" xfId="0" applyAlignment="1" applyBorder="1" applyFill="1" applyFont="1">
      <alignment horizontal="center" readingOrder="0" vertical="center"/>
    </xf>
    <xf borderId="25" fillId="2" fontId="1" numFmtId="0" xfId="0" applyAlignment="1" applyBorder="1" applyFill="1" applyFont="1">
      <alignment horizontal="center" readingOrder="0" vertical="center"/>
    </xf>
    <xf borderId="12" fillId="8" fontId="10" numFmtId="0" xfId="0" applyAlignment="1" applyBorder="1" applyFill="1" applyFont="1">
      <alignment horizontal="left" readingOrder="0" shrinkToFit="0" vertical="top" wrapText="1"/>
    </xf>
    <xf borderId="26" fillId="2" fontId="1" numFmtId="0" xfId="0" applyAlignment="1" applyBorder="1" applyFill="1" applyFont="1">
      <alignment horizontal="center" readingOrder="0" vertical="center"/>
    </xf>
    <xf borderId="24" fillId="0" fontId="15" numFmtId="0" xfId="0" applyAlignment="1" applyBorder="1" applyFont="1">
      <alignment horizontal="center" readingOrder="0" vertical="center"/>
    </xf>
    <xf borderId="27" fillId="6" fontId="9" numFmtId="0" xfId="0" applyAlignment="1" applyBorder="1" applyFill="1" applyFont="1">
      <alignment horizontal="center" readingOrder="0" vertical="center"/>
    </xf>
    <xf borderId="24" fillId="0" fontId="16" numFmtId="0" xfId="0" applyAlignment="1" applyBorder="1" applyFont="1">
      <alignment horizontal="left" readingOrder="0" vertical="center"/>
    </xf>
    <xf borderId="28" fillId="6" fontId="17" numFmtId="0" xfId="0" applyAlignment="1" applyBorder="1" applyFill="1" applyFont="1">
      <alignment horizontal="left" readingOrder="0" vertical="center"/>
    </xf>
    <xf borderId="24" fillId="0" fontId="18" numFmtId="0" xfId="0" applyAlignment="1" applyBorder="1" applyFont="1">
      <alignment horizontal="center" readingOrder="0" vertical="center"/>
    </xf>
    <xf borderId="24" fillId="10" fontId="19" numFmtId="0" xfId="0" applyAlignment="1" applyBorder="1" applyFill="1" applyFont="1">
      <alignment horizontal="center" readingOrder="0" vertical="center"/>
    </xf>
    <xf borderId="24" fillId="0" fontId="15" numFmtId="0" xfId="0" applyAlignment="1" applyBorder="1" applyFont="1">
      <alignment readingOrder="0" vertical="center"/>
    </xf>
    <xf borderId="24" fillId="11" fontId="20" numFmtId="0" xfId="0" applyAlignment="1" applyBorder="1" applyFill="1" applyFont="1">
      <alignment horizontal="center" readingOrder="0" vertical="center"/>
    </xf>
    <xf borderId="24" fillId="3" fontId="20" numFmtId="0" xfId="0" applyAlignment="1" applyBorder="1" applyFill="1" applyFont="1">
      <alignment horizontal="center" readingOrder="0" vertical="center"/>
    </xf>
    <xf borderId="24" fillId="12" fontId="20" numFmtId="0" xfId="0" applyAlignment="1" applyBorder="1" applyFill="1" applyFont="1">
      <alignment horizontal="center" readingOrder="0" vertical="center"/>
    </xf>
    <xf borderId="24" fillId="9" fontId="21" numFmtId="0" xfId="0" applyAlignment="1" applyBorder="1" applyFill="1" applyFont="1">
      <alignment horizontal="center" readingOrder="0" vertical="center"/>
    </xf>
    <xf borderId="14" fillId="6" fontId="7" numFmtId="0" xfId="0" applyAlignment="1" applyBorder="1" applyFill="1" applyFont="1">
      <alignment horizontal="center" readingOrder="0" shrinkToFit="0" vertical="top" wrapText="1"/>
    </xf>
    <xf borderId="15" fillId="6" fontId="22" numFmtId="0" xfId="0" applyAlignment="1" applyBorder="1" applyFill="1" applyFont="1">
      <alignment horizontal="left" readingOrder="0" shrinkToFit="0" vertical="top" wrapText="1"/>
    </xf>
    <xf borderId="24" fillId="7" fontId="21" numFmtId="0" xfId="0" applyAlignment="1" applyBorder="1" applyFill="1" applyFont="1">
      <alignment horizontal="center" readingOrder="0" vertical="center"/>
    </xf>
    <xf borderId="15" fillId="6" fontId="10" numFmtId="0" xfId="0" applyAlignment="1" applyBorder="1" applyFill="1" applyFont="1">
      <alignment readingOrder="0" shrinkToFit="0" vertical="top" wrapText="1"/>
    </xf>
    <xf borderId="16" fillId="6" fontId="10" numFmtId="0" xfId="0" applyAlignment="1" applyBorder="1" applyFill="1" applyFont="1">
      <alignment readingOrder="0" shrinkToFit="0" vertical="top" wrapText="1"/>
    </xf>
    <xf borderId="24" fillId="13" fontId="21" numFmtId="0" xfId="0" applyAlignment="1" applyBorder="1" applyFill="1" applyFont="1">
      <alignment horizontal="center" readingOrder="0" vertical="center"/>
    </xf>
    <xf borderId="24" fillId="14" fontId="23" numFmtId="0" xfId="0" applyAlignment="1" applyBorder="1" applyFill="1" applyFont="1">
      <alignment horizontal="center" readingOrder="0" vertical="center"/>
    </xf>
    <xf borderId="24" fillId="15" fontId="20" numFmtId="0" xfId="0" applyAlignment="1" applyBorder="1" applyFill="1" applyFont="1">
      <alignment horizontal="center" readingOrder="0" vertical="center"/>
    </xf>
    <xf borderId="24" fillId="16" fontId="20" numFmtId="0" xfId="0" applyAlignment="1" applyBorder="1" applyFill="1" applyFont="1">
      <alignment horizontal="center" readingOrder="0" vertical="center"/>
    </xf>
    <xf borderId="24" fillId="17" fontId="23" numFmtId="0" xfId="0" applyAlignment="1" applyBorder="1" applyFill="1" applyFont="1">
      <alignment horizontal="center" readingOrder="0" vertical="center"/>
    </xf>
    <xf borderId="24" fillId="18" fontId="20" numFmtId="0" xfId="0" applyAlignment="1" applyBorder="1" applyFill="1" applyFont="1">
      <alignment horizontal="center" readingOrder="0" vertical="center"/>
    </xf>
    <xf borderId="24" fillId="19" fontId="20" numFmtId="0" xfId="0" applyAlignment="1" applyBorder="1" applyFill="1" applyFont="1">
      <alignment horizontal="center" readingOrder="0" vertical="center"/>
    </xf>
    <xf borderId="24" fillId="20" fontId="20" numFmtId="0" xfId="0" applyAlignment="1" applyBorder="1" applyFill="1" applyFont="1">
      <alignment horizontal="center" readingOrder="0" vertical="center"/>
    </xf>
    <xf borderId="24" fillId="21" fontId="23" numFmtId="0" xfId="0" applyAlignment="1" applyBorder="1" applyFill="1" applyFont="1">
      <alignment horizontal="center" readingOrder="0" vertical="center"/>
    </xf>
    <xf borderId="24" fillId="22" fontId="23" numFmtId="0" xfId="0" applyAlignment="1" applyBorder="1" applyFill="1" applyFont="1">
      <alignment horizontal="center" readingOrder="0" vertical="center"/>
    </xf>
    <xf borderId="24" fillId="23" fontId="20" numFmtId="0" xfId="0" applyAlignment="1" applyBorder="1" applyFill="1" applyFont="1">
      <alignment horizontal="center" readingOrder="0" vertical="center"/>
    </xf>
    <xf borderId="0" fillId="0" fontId="24" numFmtId="0" xfId="0" applyAlignment="1" applyFont="1">
      <alignment readingOrder="0"/>
    </xf>
    <xf borderId="24" fillId="0" fontId="25" numFmtId="0" xfId="0" applyAlignment="1" applyBorder="1" applyFont="1">
      <alignment horizontal="center" readingOrder="0" vertical="center"/>
    </xf>
    <xf borderId="24" fillId="0" fontId="26" numFmtId="0" xfId="0" applyAlignment="1" applyBorder="1" applyFont="1">
      <alignment horizontal="center" readingOrder="0" vertical="center"/>
    </xf>
    <xf borderId="24" fillId="0" fontId="15" numFmtId="164" xfId="0" applyAlignment="1" applyBorder="1" applyFont="1" applyNumberFormat="1">
      <alignment horizontal="center" readingOrder="0" vertical="center"/>
    </xf>
    <xf borderId="24" fillId="0" fontId="27" numFmtId="0" xfId="0" applyAlignment="1" applyBorder="1" applyFont="1">
      <alignment horizontal="center" readingOrder="0" vertical="center"/>
    </xf>
    <xf borderId="24" fillId="0" fontId="25" numFmtId="0" xfId="0" applyAlignment="1" applyBorder="1" applyFont="1">
      <alignment horizontal="left" readingOrder="0" vertical="center"/>
    </xf>
    <xf borderId="24" fillId="0" fontId="28" numFmtId="0" xfId="0" applyAlignment="1" applyBorder="1" applyFont="1">
      <alignment horizontal="left" readingOrder="0" vertical="center"/>
    </xf>
    <xf borderId="24" fillId="0" fontId="29" numFmtId="0" xfId="0" applyAlignment="1" applyBorder="1" applyFont="1">
      <alignment horizontal="left" readingOrder="0" vertical="center"/>
    </xf>
    <xf borderId="24" fillId="0" fontId="15" numFmtId="0" xfId="0" applyAlignment="1" applyBorder="1" applyFont="1">
      <alignment horizontal="left" readingOrder="0" vertical="center"/>
    </xf>
    <xf borderId="29" fillId="3" fontId="30" numFmtId="0" xfId="0" applyAlignment="1" applyBorder="1" applyFill="1" applyFont="1">
      <alignment horizontal="center" readingOrder="0" vertical="center"/>
    </xf>
    <xf borderId="30" fillId="0" fontId="5" numFmtId="0" xfId="0" applyBorder="1" applyFont="1"/>
    <xf borderId="31" fillId="0" fontId="5" numFmtId="0" xfId="0" applyBorder="1" applyFont="1"/>
    <xf borderId="24" fillId="24" fontId="14" numFmtId="0" xfId="0" applyAlignment="1" applyBorder="1" applyFill="1" applyFont="1">
      <alignment horizontal="center" readingOrder="0" vertical="center"/>
    </xf>
    <xf borderId="24" fillId="0" fontId="27" numFmtId="0" xfId="0" applyAlignment="1" applyBorder="1" applyFont="1">
      <alignment horizontal="left" readingOrder="0" shrinkToFit="0" vertical="center" wrapText="1"/>
    </xf>
    <xf borderId="24" fillId="25" fontId="31" numFmtId="0" xfId="0" applyAlignment="1" applyBorder="1" applyFill="1" applyFont="1">
      <alignment horizontal="center" readingOrder="0" vertical="center"/>
    </xf>
    <xf borderId="14" fillId="8" fontId="7" numFmtId="0" xfId="0" applyAlignment="1" applyBorder="1" applyFill="1" applyFont="1">
      <alignment horizontal="center" shrinkToFit="0" vertical="top" wrapText="1"/>
    </xf>
    <xf borderId="24" fillId="26" fontId="32" numFmtId="0" xfId="0" applyAlignment="1" applyBorder="1" applyFill="1" applyFont="1">
      <alignment horizontal="center" readingOrder="0" vertical="center"/>
    </xf>
    <xf borderId="15" fillId="8" fontId="9" numFmtId="0" xfId="0" applyAlignment="1" applyBorder="1" applyFill="1" applyFont="1">
      <alignment horizontal="left" shrinkToFit="0" vertical="top" wrapText="1"/>
    </xf>
    <xf borderId="24" fillId="0" fontId="33" numFmtId="0" xfId="0" applyAlignment="1" applyBorder="1" applyFont="1">
      <alignment horizontal="left" readingOrder="0" shrinkToFit="0" vertical="center" wrapText="1"/>
    </xf>
    <xf borderId="15" fillId="8" fontId="10" numFmtId="0" xfId="0" applyAlignment="1" applyBorder="1" applyFill="1" applyFont="1">
      <alignment horizontal="left" shrinkToFit="0" vertical="top" wrapText="1"/>
    </xf>
    <xf borderId="24" fillId="0" fontId="34" numFmtId="0" xfId="0" applyAlignment="1" applyBorder="1" applyFont="1">
      <alignment horizontal="left" readingOrder="0" shrinkToFit="0" vertical="center" wrapText="1"/>
    </xf>
    <xf borderId="24" fillId="0" fontId="35" numFmtId="0" xfId="0" applyAlignment="1" applyBorder="1" applyFont="1">
      <alignment horizontal="left" readingOrder="0" shrinkToFit="0" vertical="center" wrapText="1"/>
    </xf>
    <xf borderId="24" fillId="27" fontId="31" numFmtId="0" xfId="0" applyAlignment="1" applyBorder="1" applyFill="1" applyFont="1">
      <alignment horizontal="center" readingOrder="0" vertical="center"/>
    </xf>
    <xf borderId="24" fillId="28" fontId="32" numFmtId="0" xfId="0" applyAlignment="1" applyBorder="1" applyFill="1" applyFont="1">
      <alignment horizontal="center" readingOrder="0" vertical="center"/>
    </xf>
    <xf borderId="24" fillId="29" fontId="31" numFmtId="0" xfId="0" applyAlignment="1" applyBorder="1" applyFill="1" applyFont="1">
      <alignment horizontal="center" readingOrder="0" vertical="center"/>
    </xf>
    <xf borderId="24" fillId="30" fontId="32" numFmtId="0" xfId="0" applyAlignment="1" applyBorder="1" applyFill="1" applyFont="1">
      <alignment horizontal="center" readingOrder="0" vertical="center"/>
    </xf>
    <xf borderId="24" fillId="31" fontId="31" numFmtId="0" xfId="0" applyAlignment="1" applyBorder="1" applyFill="1" applyFont="1">
      <alignment horizontal="center" readingOrder="0" vertical="center"/>
    </xf>
    <xf borderId="24" fillId="32" fontId="36" numFmtId="0" xfId="0" applyAlignment="1" applyBorder="1" applyFill="1" applyFont="1">
      <alignment horizontal="center" readingOrder="0" vertical="center"/>
    </xf>
    <xf borderId="24" fillId="33" fontId="37" numFmtId="0" xfId="0" applyAlignment="1" applyBorder="1" applyFill="1" applyFont="1">
      <alignment horizontal="center" readingOrder="0" vertical="center"/>
    </xf>
    <xf borderId="24" fillId="34" fontId="38" numFmtId="0" xfId="0" applyAlignment="1" applyBorder="1" applyFill="1" applyFont="1">
      <alignment horizontal="center" readingOrder="0" vertical="center"/>
    </xf>
    <xf borderId="24" fillId="35" fontId="37" numFmtId="0" xfId="0" applyAlignment="1" applyBorder="1" applyFill="1" applyFont="1">
      <alignment horizontal="center" readingOrder="0" vertical="center"/>
    </xf>
    <xf borderId="24" fillId="36" fontId="39" numFmtId="0" xfId="0" applyAlignment="1" applyBorder="1" applyFill="1" applyFont="1">
      <alignment horizontal="center" readingOrder="0" vertical="center"/>
    </xf>
    <xf borderId="24" fillId="37" fontId="40" numFmtId="0" xfId="0" applyAlignment="1" applyBorder="1" applyFill="1" applyFont="1">
      <alignment horizontal="center" readingOrder="0" vertical="center"/>
    </xf>
    <xf borderId="24" fillId="38" fontId="36" numFmtId="0" xfId="0" applyAlignment="1" applyBorder="1" applyFill="1" applyFont="1">
      <alignment horizontal="center" readingOrder="0" vertical="center"/>
    </xf>
    <xf borderId="24" fillId="39" fontId="41" numFmtId="0" xfId="0" applyAlignment="1" applyBorder="1" applyFill="1" applyFont="1">
      <alignment horizontal="center" readingOrder="0" vertical="center"/>
    </xf>
    <xf borderId="24" fillId="40" fontId="41" numFmtId="0" xfId="0" applyAlignment="1" applyBorder="1" applyFill="1" applyFont="1">
      <alignment horizontal="center" readingOrder="0" vertical="center"/>
    </xf>
    <xf borderId="24" fillId="41" fontId="31" numFmtId="0" xfId="0" applyAlignment="1" applyBorder="1" applyFill="1" applyFont="1">
      <alignment horizontal="center" readingOrder="0" vertical="center"/>
    </xf>
    <xf borderId="24" fillId="42" fontId="41" numFmtId="0" xfId="0" applyAlignment="1" applyBorder="1" applyFill="1" applyFont="1">
      <alignment horizontal="center" readingOrder="0" vertical="center"/>
    </xf>
    <xf borderId="24" fillId="43" fontId="41" numFmtId="0" xfId="0" applyAlignment="1" applyBorder="1" applyFill="1" applyFont="1">
      <alignment horizontal="center" readingOrder="0" vertical="center"/>
    </xf>
    <xf borderId="24" fillId="44" fontId="41" numFmtId="0" xfId="0" applyAlignment="1" applyBorder="1" applyFill="1" applyFont="1">
      <alignment horizontal="center" readingOrder="0" vertical="center"/>
    </xf>
    <xf borderId="24" fillId="45" fontId="41" numFmtId="0" xfId="0" applyAlignment="1" applyBorder="1" applyFill="1" applyFont="1">
      <alignment horizontal="center" readingOrder="0" vertical="center"/>
    </xf>
    <xf borderId="24" fillId="46" fontId="42" numFmtId="0" xfId="0" applyAlignment="1" applyBorder="1" applyFill="1" applyFont="1">
      <alignment horizontal="center" readingOrder="0" vertical="center"/>
    </xf>
    <xf borderId="24" fillId="47" fontId="31" numFmtId="0" xfId="0" applyAlignment="1" applyBorder="1" applyFill="1" applyFont="1">
      <alignment horizontal="center" readingOrder="0" vertical="center"/>
    </xf>
    <xf borderId="24" fillId="48" fontId="41" numFmtId="0" xfId="0" applyAlignment="1" applyBorder="1" applyFill="1" applyFont="1">
      <alignment horizontal="center" readingOrder="0" vertical="center"/>
    </xf>
    <xf borderId="24" fillId="49" fontId="31" numFmtId="0" xfId="0" applyAlignment="1" applyBorder="1" applyFill="1" applyFont="1">
      <alignment horizontal="center" readingOrder="0" vertical="center"/>
    </xf>
    <xf borderId="24" fillId="50" fontId="41" numFmtId="0" xfId="0" applyAlignment="1" applyBorder="1" applyFill="1" applyFont="1">
      <alignment horizontal="center" readingOrder="0" vertical="center"/>
    </xf>
    <xf borderId="24" fillId="51" fontId="31" numFmtId="0" xfId="0" applyAlignment="1" applyBorder="1" applyFill="1" applyFont="1">
      <alignment horizontal="center" readingOrder="0" vertical="center"/>
    </xf>
    <xf borderId="24" fillId="52" fontId="41" numFmtId="0" xfId="0" applyAlignment="1" applyBorder="1" applyFill="1" applyFont="1">
      <alignment horizontal="center" readingOrder="0" vertical="center"/>
    </xf>
    <xf borderId="24" fillId="53" fontId="41" numFmtId="0" xfId="0" applyAlignment="1" applyBorder="1" applyFill="1" applyFont="1">
      <alignment horizontal="center" readingOrder="0" vertical="center"/>
    </xf>
    <xf borderId="24" fillId="54" fontId="43" numFmtId="0" xfId="0" applyAlignment="1" applyBorder="1" applyFill="1" applyFont="1">
      <alignment horizontal="center" readingOrder="0" vertical="center"/>
    </xf>
    <xf borderId="24" fillId="55" fontId="41" numFmtId="0" xfId="0" applyAlignment="1" applyBorder="1" applyFill="1" applyFont="1">
      <alignment horizontal="center" readingOrder="0" vertical="center"/>
    </xf>
    <xf borderId="24" fillId="56" fontId="44" numFmtId="0" xfId="0" applyAlignment="1" applyBorder="1" applyFill="1" applyFont="1">
      <alignment horizontal="center" readingOrder="0" vertical="center"/>
    </xf>
    <xf borderId="24" fillId="57" fontId="31" numFmtId="0" xfId="0" applyAlignment="1" applyBorder="1" applyFill="1" applyFont="1">
      <alignment horizontal="center" readingOrder="0" vertical="center"/>
    </xf>
    <xf borderId="0" fillId="0" fontId="27" numFmtId="0" xfId="0" applyAlignment="1" applyFont="1">
      <alignment horizontal="left" readingOrder="0" shrinkToFit="0" vertical="center" wrapText="1"/>
    </xf>
    <xf borderId="0" fillId="57" fontId="31" numFmtId="0" xfId="0" applyAlignment="1" applyFill="1" applyFont="1">
      <alignment horizontal="center" readingOrder="0" vertical="center"/>
    </xf>
    <xf borderId="0" fillId="28" fontId="32" numFmtId="0" xfId="0" applyAlignment="1" applyFill="1" applyFont="1">
      <alignment horizontal="center" readingOrder="0" vertical="center"/>
    </xf>
    <xf borderId="0" fillId="0" fontId="33" numFmtId="0" xfId="0" applyAlignment="1" applyFont="1">
      <alignment horizontal="left" readingOrder="0" shrinkToFit="0" vertical="center" wrapText="1"/>
    </xf>
    <xf borderId="0" fillId="0" fontId="34" numFmtId="0" xfId="0" applyAlignment="1" applyFont="1">
      <alignment horizontal="left" readingOrder="0" shrinkToFit="0" vertical="center" wrapText="1"/>
    </xf>
    <xf borderId="0" fillId="0" fontId="35" numFmtId="0" xfId="0" applyAlignment="1" applyFont="1">
      <alignment horizontal="left" readingOrder="0" shrinkToFit="0" vertical="center" wrapText="1"/>
    </xf>
    <xf borderId="29" fillId="3" fontId="30" numFmtId="0" xfId="0" applyAlignment="1" applyBorder="1" applyFill="1" applyFont="1">
      <alignment horizontal="center" readingOrder="0" shrinkToFit="0" vertical="center" wrapText="1"/>
    </xf>
    <xf borderId="24" fillId="24" fontId="14" numFmtId="0" xfId="0" applyAlignment="1" applyBorder="1" applyFill="1" applyFont="1">
      <alignment horizontal="center" readingOrder="0" shrinkToFit="0" vertical="center" wrapText="1"/>
    </xf>
    <xf borderId="24" fillId="6" fontId="45" numFmtId="0" xfId="0" applyAlignment="1" applyBorder="1" applyFill="1" applyFont="1">
      <alignment horizontal="left" readingOrder="0" shrinkToFit="0" vertical="center" wrapText="1"/>
    </xf>
    <xf borderId="24" fillId="6" fontId="15" numFmtId="0" xfId="0" applyAlignment="1" applyBorder="1" applyFill="1" applyFont="1">
      <alignment horizontal="center" readingOrder="0" shrinkToFit="0" vertical="center" wrapText="1"/>
    </xf>
    <xf borderId="24" fillId="6" fontId="16" numFmtId="0" xfId="0" applyAlignment="1" applyBorder="1" applyFill="1" applyFont="1">
      <alignment horizontal="center" readingOrder="0" shrinkToFit="0" vertical="center" wrapText="1"/>
    </xf>
    <xf borderId="24" fillId="6" fontId="15" numFmtId="0" xfId="0" applyAlignment="1" applyBorder="1" applyFill="1" applyFont="1">
      <alignment horizontal="left" readingOrder="0" shrinkToFit="0" vertical="center" wrapText="1"/>
    </xf>
    <xf borderId="24" fillId="6" fontId="26" numFmtId="0" xfId="0" applyAlignment="1" applyBorder="1" applyFill="1" applyFont="1">
      <alignment horizontal="center" readingOrder="0" shrinkToFit="0" vertical="center" wrapText="1"/>
    </xf>
    <xf borderId="10" fillId="6" fontId="7" numFmtId="0" xfId="0" applyAlignment="1" applyBorder="1" applyFill="1" applyFont="1">
      <alignment horizontal="center" readingOrder="0" shrinkToFit="0" vertical="top" wrapText="1"/>
    </xf>
    <xf borderId="10" fillId="6" fontId="22" numFmtId="0" xfId="0" applyAlignment="1" applyBorder="1" applyFill="1" applyFont="1">
      <alignment horizontal="left" readingOrder="0" shrinkToFit="0" vertical="top" wrapText="1"/>
    </xf>
    <xf borderId="28" fillId="6" fontId="46" numFmtId="0" xfId="0" applyAlignment="1" applyBorder="1" applyFill="1" applyFont="1">
      <alignment horizontal="center" vertical="center"/>
    </xf>
    <xf borderId="15" fillId="8" fontId="10" numFmtId="0" xfId="0" applyAlignment="1" applyBorder="1" applyFill="1" applyFont="1">
      <alignment horizontal="left" readingOrder="0" shrinkToFit="0" vertical="top" wrapText="1"/>
    </xf>
    <xf borderId="24" fillId="58" fontId="45" numFmtId="0" xfId="0" applyAlignment="1" applyBorder="1" applyFill="1" applyFont="1">
      <alignment horizontal="left" readingOrder="0" shrinkToFit="0" vertical="center" wrapText="1"/>
    </xf>
    <xf borderId="28" fillId="6" fontId="9" numFmtId="0" xfId="0" applyAlignment="1" applyBorder="1" applyFill="1" applyFont="1">
      <alignment horizontal="center" vertical="center"/>
    </xf>
    <xf borderId="24" fillId="58" fontId="15" numFmtId="0" xfId="0" applyAlignment="1" applyBorder="1" applyFill="1" applyFont="1">
      <alignment horizontal="center" readingOrder="0" shrinkToFit="0" vertical="center" wrapText="1"/>
    </xf>
    <xf borderId="16" fillId="8" fontId="10" numFmtId="0" xfId="0" applyAlignment="1" applyBorder="1" applyFill="1" applyFont="1">
      <alignment horizontal="left" shrinkToFit="0" vertical="top" wrapText="1"/>
    </xf>
    <xf borderId="24" fillId="58" fontId="16" numFmtId="0" xfId="0" applyAlignment="1" applyBorder="1" applyFill="1" applyFont="1">
      <alignment horizontal="center" readingOrder="0" shrinkToFit="0" vertical="center" wrapText="1"/>
    </xf>
    <xf borderId="24" fillId="58" fontId="15" numFmtId="0" xfId="0" applyAlignment="1" applyBorder="1" applyFill="1" applyFont="1">
      <alignment horizontal="left" readingOrder="0" shrinkToFit="0" vertical="center" wrapText="1"/>
    </xf>
    <xf borderId="28" fillId="6" fontId="47" numFmtId="0" xfId="0" applyAlignment="1" applyBorder="1" applyFill="1" applyFont="1">
      <alignment horizontal="center" vertical="center"/>
    </xf>
    <xf borderId="24" fillId="58" fontId="26" numFmtId="0" xfId="0" applyAlignment="1" applyBorder="1" applyFill="1" applyFont="1">
      <alignment horizontal="center" readingOrder="0" shrinkToFit="0" vertical="center" wrapText="1"/>
    </xf>
    <xf borderId="32" fillId="6" fontId="48" numFmtId="0" xfId="0" applyAlignment="1" applyBorder="1" applyFill="1" applyFont="1">
      <alignment horizontal="center" readingOrder="0" vertical="center"/>
    </xf>
    <xf borderId="27" fillId="8" fontId="9" numFmtId="0" xfId="0" applyAlignment="1" applyBorder="1" applyFill="1" applyFont="1">
      <alignment horizontal="center" readingOrder="0" vertical="center"/>
    </xf>
    <xf borderId="28" fillId="8" fontId="17" numFmtId="0" xfId="0" applyAlignment="1" applyBorder="1" applyFill="1" applyFont="1">
      <alignment horizontal="left" readingOrder="0" vertical="center"/>
    </xf>
    <xf borderId="28" fillId="8" fontId="46" numFmtId="0" xfId="0" applyAlignment="1" applyBorder="1" applyFill="1" applyFont="1">
      <alignment horizontal="center" vertical="center"/>
    </xf>
    <xf borderId="28" fillId="8" fontId="9" numFmtId="0" xfId="0" applyAlignment="1" applyBorder="1" applyFill="1" applyFont="1">
      <alignment horizontal="center" vertical="center"/>
    </xf>
    <xf borderId="28" fillId="8" fontId="47" numFmtId="0" xfId="0" applyAlignment="1" applyBorder="1" applyFill="1" applyFont="1">
      <alignment horizontal="center" vertical="center"/>
    </xf>
    <xf borderId="32" fillId="8" fontId="48" numFmtId="0" xfId="0" applyAlignment="1" applyBorder="1" applyFill="1" applyFont="1">
      <alignment horizontal="center" readingOrder="0" vertical="center"/>
    </xf>
    <xf borderId="28" fillId="8" fontId="46" numFmtId="0" xfId="0" applyAlignment="1" applyBorder="1" applyFill="1" applyFont="1">
      <alignment horizontal="center" readingOrder="0" vertical="center"/>
    </xf>
    <xf borderId="28" fillId="8" fontId="9" numFmtId="0" xfId="0" applyAlignment="1" applyBorder="1" applyFill="1" applyFont="1">
      <alignment horizontal="center" readingOrder="0" vertical="center"/>
    </xf>
    <xf borderId="28" fillId="8" fontId="47" numFmtId="0" xfId="0" applyAlignment="1" applyBorder="1" applyFill="1" applyFont="1">
      <alignment horizontal="center" readingOrder="0" vertical="center"/>
    </xf>
    <xf borderId="28" fillId="6" fontId="46" numFmtId="0" xfId="0" applyAlignment="1" applyBorder="1" applyFill="1" applyFont="1">
      <alignment horizontal="center" readingOrder="0" vertical="center"/>
    </xf>
    <xf borderId="28" fillId="6" fontId="9" numFmtId="0" xfId="0" applyAlignment="1" applyBorder="1" applyFill="1" applyFont="1">
      <alignment horizontal="center" readingOrder="0" vertical="center"/>
    </xf>
    <xf borderId="28" fillId="6" fontId="47" numFmtId="0" xfId="0" applyAlignment="1" applyBorder="1" applyFill="1" applyFont="1">
      <alignment horizontal="center" readingOrder="0" vertical="center"/>
    </xf>
    <xf borderId="28" fillId="8" fontId="49" numFmtId="0" xfId="0" applyAlignment="1" applyBorder="1" applyFill="1" applyFont="1">
      <alignment horizontal="center" readingOrder="0" vertical="center"/>
    </xf>
    <xf borderId="28" fillId="6" fontId="50" numFmtId="0" xfId="0" applyAlignment="1" applyBorder="1" applyFill="1" applyFont="1">
      <alignment horizontal="center" readingOrder="0" vertical="center"/>
    </xf>
    <xf borderId="33" fillId="4" fontId="22" numFmtId="0" xfId="0" applyAlignment="1" applyBorder="1" applyFill="1" applyFont="1">
      <alignment horizontal="center" readingOrder="0" vertical="center"/>
    </xf>
    <xf borderId="34" fillId="4" fontId="22" numFmtId="0" xfId="0" applyAlignment="1" applyBorder="1" applyFill="1" applyFont="1">
      <alignment horizontal="left" readingOrder="0" vertical="center"/>
    </xf>
    <xf borderId="34" fillId="4" fontId="22" numFmtId="0" xfId="0" applyAlignment="1" applyBorder="1" applyFill="1" applyFont="1">
      <alignment horizontal="center" readingOrder="0" vertical="center"/>
    </xf>
    <xf borderId="35" fillId="4" fontId="22" numFmtId="0" xfId="0" applyAlignment="1" applyBorder="1" applyFill="1" applyFont="1">
      <alignment horizontal="center" readingOrder="0" vertical="center"/>
    </xf>
    <xf borderId="36" fillId="2" fontId="51" numFmtId="0" xfId="0" applyAlignment="1" applyBorder="1" applyFill="1" applyFont="1">
      <alignment horizontal="center" readingOrder="0" vertical="center"/>
    </xf>
    <xf borderId="37" fillId="0" fontId="5" numFmtId="0" xfId="0" applyBorder="1" applyFont="1"/>
    <xf borderId="38" fillId="0" fontId="5" numFmtId="0" xfId="0" applyBorder="1" applyFont="1"/>
    <xf borderId="28" fillId="59" fontId="1" numFmtId="0" xfId="0" applyAlignment="1" applyBorder="1" applyFill="1" applyFont="1">
      <alignment horizontal="center" readingOrder="0" vertical="center"/>
    </xf>
    <xf borderId="28" fillId="6" fontId="9" numFmtId="0" xfId="0" applyAlignment="1" applyBorder="1" applyFill="1" applyFont="1">
      <alignment horizontal="center" readingOrder="0" shrinkToFit="0" vertical="center" wrapText="1"/>
    </xf>
    <xf borderId="28" fillId="6" fontId="9" numFmtId="0" xfId="0" applyAlignment="1" applyBorder="1" applyFill="1" applyFont="1">
      <alignment horizontal="left" readingOrder="0" shrinkToFit="0" vertical="center" wrapText="1"/>
    </xf>
    <xf borderId="28" fillId="6" fontId="46" numFmtId="0" xfId="0" applyAlignment="1" applyBorder="1" applyFill="1" applyFont="1">
      <alignment horizontal="center" readingOrder="0" shrinkToFit="0" vertical="center" wrapText="1"/>
    </xf>
    <xf borderId="28" fillId="6" fontId="17" numFmtId="0" xfId="0" applyAlignment="1" applyBorder="1" applyFill="1" applyFont="1">
      <alignment readingOrder="0" shrinkToFit="0" vertical="center" wrapText="1"/>
    </xf>
    <xf borderId="28" fillId="6" fontId="47" numFmtId="0" xfId="0" applyAlignment="1" applyBorder="1" applyFill="1" applyFont="1">
      <alignment horizontal="center" readingOrder="0" shrinkToFit="0" vertical="center" wrapText="1"/>
    </xf>
    <xf borderId="28" fillId="8" fontId="9" numFmtId="0" xfId="0" applyAlignment="1" applyBorder="1" applyFill="1" applyFont="1">
      <alignment horizontal="center" readingOrder="0" shrinkToFit="0" vertical="center" wrapText="1"/>
    </xf>
    <xf borderId="28" fillId="8" fontId="9" numFmtId="0" xfId="0" applyAlignment="1" applyBorder="1" applyFill="1" applyFont="1">
      <alignment horizontal="left" readingOrder="0" shrinkToFit="0" vertical="center" wrapText="1"/>
    </xf>
    <xf borderId="28" fillId="8" fontId="46" numFmtId="0" xfId="0" applyAlignment="1" applyBorder="1" applyFill="1" applyFont="1">
      <alignment horizontal="center" readingOrder="0" shrinkToFit="0" vertical="center" wrapText="1"/>
    </xf>
    <xf borderId="28" fillId="8" fontId="17" numFmtId="0" xfId="0" applyAlignment="1" applyBorder="1" applyFill="1" applyFont="1">
      <alignment readingOrder="0" shrinkToFit="0" vertical="center" wrapText="1"/>
    </xf>
    <xf borderId="28" fillId="8" fontId="47"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15.86"/>
    <col customWidth="1" min="3" max="3" width="45.86"/>
    <col customWidth="1" min="4" max="4" width="23.0"/>
    <col customWidth="1" min="5" max="5" width="15.86"/>
    <col customWidth="1" min="6" max="6" width="18.71"/>
    <col customWidth="1" min="7" max="7" width="21.57"/>
  </cols>
  <sheetData>
    <row r="1" ht="27.0" customHeight="1">
      <c r="B1" s="2" t="s">
        <v>0</v>
      </c>
    </row>
    <row r="2" ht="19.5" customHeight="1">
      <c r="B2" s="4" t="s">
        <v>4</v>
      </c>
    </row>
    <row r="3" ht="19.5" customHeight="1">
      <c r="B3" s="7" t="s">
        <v>5</v>
      </c>
      <c r="C3" s="9"/>
      <c r="D3" s="7" t="s">
        <v>9</v>
      </c>
      <c r="E3" s="9"/>
      <c r="F3" s="7" t="s">
        <v>14</v>
      </c>
      <c r="G3" s="9"/>
    </row>
    <row r="4" ht="19.5" customHeight="1">
      <c r="B4" s="17">
        <f>COUNTA(B8:B16)</f>
        <v>9</v>
      </c>
      <c r="C4" s="23"/>
      <c r="D4" s="17">
        <f>SUM(E8:E16)</f>
        <v>45</v>
      </c>
      <c r="E4" s="23"/>
      <c r="F4" s="17">
        <f>SUM(F8:F16)</f>
        <v>26</v>
      </c>
      <c r="G4" s="23"/>
    </row>
    <row r="5" ht="19.5" customHeight="1">
      <c r="B5" s="34"/>
      <c r="C5" s="36"/>
      <c r="D5" s="34"/>
      <c r="E5" s="36"/>
      <c r="F5" s="34"/>
      <c r="G5" s="36"/>
    </row>
    <row r="7" ht="24.0" customHeight="1">
      <c r="B7" s="38" t="s">
        <v>76</v>
      </c>
      <c r="C7" s="45" t="s">
        <v>85</v>
      </c>
      <c r="D7" s="45" t="s">
        <v>90</v>
      </c>
      <c r="E7" s="45" t="s">
        <v>92</v>
      </c>
      <c r="F7" s="45" t="s">
        <v>95</v>
      </c>
      <c r="G7" s="47" t="s">
        <v>97</v>
      </c>
    </row>
    <row r="8" ht="21.0" customHeight="1">
      <c r="B8" s="49" t="s">
        <v>107</v>
      </c>
      <c r="C8" s="51" t="s">
        <v>114</v>
      </c>
      <c r="D8" s="143" t="str">
        <f>HYPERLINK("#gid=191072961", "Mở Trang Chủ ➔")</f>
        <v>Mở Trang Chủ ➔</v>
      </c>
      <c r="E8" s="146">
        <f>COUNTA(Trang_Chu_Portal!A2:A13)</f>
        <v>12</v>
      </c>
      <c r="F8" s="151">
        <f>COUNTIF(Trang_Chu_Portal!H2:H13, "*P0*")</f>
        <v>8</v>
      </c>
      <c r="G8" s="153" t="s">
        <v>816</v>
      </c>
    </row>
    <row r="9" ht="21.0" customHeight="1">
      <c r="B9" s="154" t="s">
        <v>822</v>
      </c>
      <c r="C9" s="155" t="s">
        <v>832</v>
      </c>
      <c r="D9" s="156" t="str">
        <f>HYPERLINK("#gid=862918376", "Mở Chi Tiết PDP ➔")</f>
        <v>Mở Chi Tiết PDP ➔</v>
      </c>
      <c r="E9" s="157">
        <f>COUNTA(Chi_Tiet_SanPham_PDP!A2:A6)</f>
        <v>5</v>
      </c>
      <c r="F9" s="158">
        <f>COUNTIF(Chi_Tiet_SanPham_PDP!H2:H6, "*P0*")</f>
        <v>3</v>
      </c>
      <c r="G9" s="159" t="s">
        <v>816</v>
      </c>
    </row>
    <row r="10" ht="21.0" customHeight="1">
      <c r="B10" s="49" t="s">
        <v>861</v>
      </c>
      <c r="C10" s="51" t="s">
        <v>862</v>
      </c>
      <c r="D10" s="143" t="str">
        <f>HYPERLINK("#gid=1281800305", "Mở Danh Mục ➔")</f>
        <v>Mở Danh Mục ➔</v>
      </c>
      <c r="E10" s="146">
        <f>COUNTA(Danh_Muc_Collection!A2:A6)</f>
        <v>5</v>
      </c>
      <c r="F10" s="151">
        <f>COUNTIF(Danh_Muc_Collection!H2:H6, "*P0*")</f>
        <v>0</v>
      </c>
      <c r="G10" s="153" t="s">
        <v>816</v>
      </c>
    </row>
    <row r="11" ht="21.0" customHeight="1">
      <c r="B11" s="154" t="s">
        <v>863</v>
      </c>
      <c r="C11" s="155" t="s">
        <v>864</v>
      </c>
      <c r="D11" s="156" t="str">
        <f>HYPERLINK("#gid=1817412348", "Mở Đại Lý B2B ➔")</f>
        <v>Mở Đại Lý B2B ➔</v>
      </c>
      <c r="E11" s="157">
        <f>COUNTA(Dai_Ly_B2B_Distribution!A2:A5)</f>
        <v>4</v>
      </c>
      <c r="F11" s="158">
        <f>COUNTIF(Dai_Ly_B2B_Distribution!H2:H5, "*P0*")</f>
        <v>3</v>
      </c>
      <c r="G11" s="159" t="s">
        <v>816</v>
      </c>
    </row>
    <row r="12" ht="21.0" customHeight="1">
      <c r="B12" s="49" t="s">
        <v>865</v>
      </c>
      <c r="C12" s="51" t="s">
        <v>866</v>
      </c>
      <c r="D12" s="143" t="str">
        <f>HYPERLINK("#gid=1841435469", "Mở Tra Cứu ➔")</f>
        <v>Mở Tra Cứu ➔</v>
      </c>
      <c r="E12" s="146">
        <f>COUNTA(Tra_Cuu_Hoat_Chat!A2:A4)</f>
        <v>3</v>
      </c>
      <c r="F12" s="151">
        <f>COUNTIF(Tra_Cuu_Hoat_Chat!H2:H4, "*P0*")</f>
        <v>2</v>
      </c>
      <c r="G12" s="153" t="s">
        <v>816</v>
      </c>
    </row>
    <row r="13" ht="21.0" customHeight="1">
      <c r="B13" s="154" t="s">
        <v>867</v>
      </c>
      <c r="C13" s="155" t="s">
        <v>868</v>
      </c>
      <c r="D13" s="160" t="str">
        <f>HYPERLINK("#gid=101001", "Mở Blog ➔")</f>
        <v>Mở Blog ➔</v>
      </c>
      <c r="E13" s="161">
        <f>COUNTA(Blog!A2:A5)</f>
        <v>4</v>
      </c>
      <c r="F13" s="162">
        <f>COUNTIF(Blog!H2:H5, "*P0*")</f>
        <v>2</v>
      </c>
      <c r="G13" s="159" t="s">
        <v>816</v>
      </c>
    </row>
    <row r="14">
      <c r="B14" s="49" t="s">
        <v>869</v>
      </c>
      <c r="C14" s="51" t="s">
        <v>870</v>
      </c>
      <c r="D14" s="163" t="str">
        <f>HYPERLINK("#gid=101002", "Mở Chi Tiết Blog ➔")</f>
        <v>Mở Chi Tiết Blog ➔</v>
      </c>
      <c r="E14" s="164">
        <f>COUNTA(Chi_Tiet_Blog!A2:A6)</f>
        <v>5</v>
      </c>
      <c r="F14" s="165">
        <f>COUNTIF(Chi_Tiet_Blog!H2:H6, "*P0*")</f>
        <v>3</v>
      </c>
      <c r="G14" s="153" t="s">
        <v>816</v>
      </c>
    </row>
    <row r="15">
      <c r="B15" s="154" t="s">
        <v>871</v>
      </c>
      <c r="C15" s="155" t="s">
        <v>872</v>
      </c>
      <c r="D15" s="166" t="s">
        <v>873</v>
      </c>
      <c r="E15" s="161">
        <f>COUNTA(Dat_Lich_Hen!A2:A5)</f>
        <v>4</v>
      </c>
      <c r="F15" s="162">
        <f>COUNTIF(Dat_Lich_Hen!H2:H5, "*P0*")</f>
        <v>3</v>
      </c>
      <c r="G15" s="159" t="s">
        <v>816</v>
      </c>
    </row>
    <row r="16">
      <c r="B16" s="49" t="s">
        <v>874</v>
      </c>
      <c r="C16" s="51" t="s">
        <v>875</v>
      </c>
      <c r="D16" s="167" t="s">
        <v>876</v>
      </c>
      <c r="E16" s="164">
        <f>COUNTA(Tra_Cuu_Don_Hang!A2:A4)</f>
        <v>3</v>
      </c>
      <c r="F16" s="165">
        <f>COUNTIF(Tra_Cuu_Don_Hang!H2:H4, "*P0*")</f>
        <v>2</v>
      </c>
      <c r="G16" s="153" t="s">
        <v>816</v>
      </c>
    </row>
    <row r="17">
      <c r="B17" s="168" t="s">
        <v>877</v>
      </c>
      <c r="C17" s="169" t="s">
        <v>878</v>
      </c>
      <c r="D17" s="170" t="s">
        <v>879</v>
      </c>
      <c r="E17" s="170">
        <v>45.0</v>
      </c>
      <c r="F17" s="170">
        <v>26.0</v>
      </c>
      <c r="G17" s="171" t="s">
        <v>880</v>
      </c>
    </row>
    <row r="18">
      <c r="B18" s="172" t="s">
        <v>881</v>
      </c>
      <c r="C18" s="173"/>
      <c r="D18" s="173"/>
      <c r="E18" s="173"/>
      <c r="F18" s="173"/>
      <c r="G18" s="174"/>
    </row>
    <row r="19">
      <c r="B19" s="175" t="s">
        <v>882</v>
      </c>
      <c r="C19" s="175" t="s">
        <v>883</v>
      </c>
      <c r="D19" s="175" t="s">
        <v>884</v>
      </c>
      <c r="E19" s="175" t="s">
        <v>885</v>
      </c>
      <c r="F19" s="175" t="s">
        <v>845</v>
      </c>
      <c r="G19" s="175" t="s">
        <v>846</v>
      </c>
    </row>
    <row r="20">
      <c r="B20" s="176" t="s">
        <v>886</v>
      </c>
      <c r="C20" s="177" t="s">
        <v>887</v>
      </c>
      <c r="D20" s="178" t="s">
        <v>849</v>
      </c>
      <c r="E20" s="179" t="s">
        <v>888</v>
      </c>
      <c r="F20" s="179" t="s">
        <v>889</v>
      </c>
      <c r="G20" s="180" t="s">
        <v>890</v>
      </c>
    </row>
    <row r="21">
      <c r="B21" s="181" t="s">
        <v>891</v>
      </c>
      <c r="C21" s="182" t="s">
        <v>892</v>
      </c>
      <c r="D21" s="183" t="s">
        <v>849</v>
      </c>
      <c r="E21" s="184" t="s">
        <v>893</v>
      </c>
      <c r="F21" s="184" t="s">
        <v>894</v>
      </c>
      <c r="G21" s="185" t="s">
        <v>895</v>
      </c>
    </row>
    <row r="22">
      <c r="B22" s="176" t="s">
        <v>896</v>
      </c>
      <c r="C22" s="177" t="s">
        <v>897</v>
      </c>
      <c r="D22" s="178" t="s">
        <v>849</v>
      </c>
      <c r="E22" s="179" t="s">
        <v>898</v>
      </c>
      <c r="F22" s="179" t="s">
        <v>899</v>
      </c>
      <c r="G22" s="180" t="s">
        <v>900</v>
      </c>
    </row>
    <row r="23">
      <c r="B23" s="181" t="s">
        <v>901</v>
      </c>
      <c r="C23" s="182" t="s">
        <v>902</v>
      </c>
      <c r="D23" s="183" t="s">
        <v>849</v>
      </c>
      <c r="E23" s="184" t="s">
        <v>903</v>
      </c>
      <c r="F23" s="184" t="s">
        <v>904</v>
      </c>
      <c r="G23" s="185" t="s">
        <v>905</v>
      </c>
    </row>
    <row r="24">
      <c r="B24" s="176" t="s">
        <v>906</v>
      </c>
      <c r="C24" s="177" t="s">
        <v>907</v>
      </c>
      <c r="D24" s="178" t="s">
        <v>849</v>
      </c>
      <c r="E24" s="179" t="s">
        <v>908</v>
      </c>
      <c r="F24" s="179" t="s">
        <v>909</v>
      </c>
      <c r="G24" s="180" t="s">
        <v>910</v>
      </c>
    </row>
    <row r="25">
      <c r="B25" s="75" t="s">
        <v>911</v>
      </c>
      <c r="C25" s="75" t="s">
        <v>912</v>
      </c>
      <c r="D25" s="75" t="s">
        <v>849</v>
      </c>
      <c r="E25" s="75" t="s">
        <v>913</v>
      </c>
      <c r="F25" s="75" t="s">
        <v>914</v>
      </c>
      <c r="G25" s="75" t="s">
        <v>915</v>
      </c>
    </row>
  </sheetData>
  <mergeCells count="9">
    <mergeCell ref="F4:G5"/>
    <mergeCell ref="B18:G18"/>
    <mergeCell ref="B1:G1"/>
    <mergeCell ref="B2:G2"/>
    <mergeCell ref="B3:C3"/>
    <mergeCell ref="D3:E3"/>
    <mergeCell ref="F3:G3"/>
    <mergeCell ref="B4:C5"/>
    <mergeCell ref="D4:E5"/>
  </mergeCells>
  <hyperlinks>
    <hyperlink display="Mở Đặt Lịch ➔" location="Dat_Lich_Hen!A1" ref="D15"/>
    <hyperlink display="Mở Tra Cứu Đơn ➔" location="Tra_Cuu_Don_Hang!A1" ref="D1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3"/>
    <col customWidth="1" min="2" max="2" width="27.29"/>
    <col customWidth="1" min="3" max="3" width="34.43"/>
    <col customWidth="1" min="4" max="4" width="24.43"/>
    <col customWidth="1" min="5" max="5" width="40.14"/>
    <col customWidth="1" min="6" max="6" width="44.43"/>
    <col customWidth="1" min="7" max="7" width="51.57"/>
  </cols>
  <sheetData>
    <row r="1" ht="28.5" customHeight="1">
      <c r="B1" s="3" t="s">
        <v>2</v>
      </c>
      <c r="C1" s="5"/>
      <c r="D1" s="5"/>
      <c r="E1" s="5"/>
      <c r="F1" s="5"/>
      <c r="G1" s="10"/>
    </row>
    <row r="2" ht="21.0" customHeight="1">
      <c r="B2" s="14" t="s">
        <v>15</v>
      </c>
      <c r="C2" s="5"/>
      <c r="D2" s="5"/>
      <c r="E2" s="5"/>
      <c r="F2" s="5"/>
      <c r="G2" s="10"/>
    </row>
    <row r="3" ht="19.5" customHeight="1">
      <c r="B3" s="28" t="s">
        <v>23</v>
      </c>
      <c r="C3" s="10"/>
      <c r="D3" s="28" t="s">
        <v>63</v>
      </c>
      <c r="E3" s="10"/>
      <c r="F3" s="28" t="s">
        <v>65</v>
      </c>
      <c r="G3" s="10"/>
    </row>
    <row r="4">
      <c r="B4" s="33" t="s">
        <v>67</v>
      </c>
      <c r="C4" s="35"/>
      <c r="D4" s="33" t="s">
        <v>73</v>
      </c>
      <c r="E4" s="35"/>
      <c r="F4" s="33" t="s">
        <v>75</v>
      </c>
      <c r="G4" s="35"/>
    </row>
    <row r="5">
      <c r="B5" s="40"/>
      <c r="C5" s="42"/>
      <c r="D5" s="40"/>
      <c r="E5" s="42"/>
      <c r="F5" s="40"/>
      <c r="G5" s="42"/>
    </row>
    <row r="7" ht="22.5" customHeight="1">
      <c r="B7" s="44" t="s">
        <v>83</v>
      </c>
      <c r="C7" s="44" t="s">
        <v>87</v>
      </c>
      <c r="D7" s="44" t="s">
        <v>89</v>
      </c>
      <c r="E7" s="44" t="s">
        <v>91</v>
      </c>
      <c r="F7" s="44" t="s">
        <v>93</v>
      </c>
      <c r="G7" s="44" t="s">
        <v>96</v>
      </c>
    </row>
    <row r="8">
      <c r="B8" s="48" t="s">
        <v>102</v>
      </c>
      <c r="C8" s="50" t="s">
        <v>112</v>
      </c>
      <c r="D8" s="52" t="s">
        <v>118</v>
      </c>
      <c r="E8" s="53" t="s">
        <v>125</v>
      </c>
      <c r="F8" s="54" t="s">
        <v>143</v>
      </c>
      <c r="G8" s="54" t="s">
        <v>144</v>
      </c>
    </row>
    <row r="9">
      <c r="B9" s="48" t="s">
        <v>146</v>
      </c>
      <c r="C9" s="50" t="s">
        <v>148</v>
      </c>
      <c r="D9" s="52" t="s">
        <v>150</v>
      </c>
      <c r="E9" s="55" t="s">
        <v>154</v>
      </c>
      <c r="F9" s="54" t="s">
        <v>161</v>
      </c>
      <c r="G9" s="54" t="s">
        <v>163</v>
      </c>
    </row>
    <row r="10">
      <c r="B10" s="48" t="s">
        <v>146</v>
      </c>
      <c r="C10" s="50" t="s">
        <v>168</v>
      </c>
      <c r="D10" s="52" t="s">
        <v>170</v>
      </c>
      <c r="E10" s="56" t="s">
        <v>175</v>
      </c>
      <c r="F10" s="54" t="s">
        <v>177</v>
      </c>
      <c r="G10" s="54" t="s">
        <v>179</v>
      </c>
    </row>
    <row r="11">
      <c r="B11" s="48" t="s">
        <v>146</v>
      </c>
      <c r="C11" s="50" t="s">
        <v>183</v>
      </c>
      <c r="D11" s="52" t="s">
        <v>185</v>
      </c>
      <c r="E11" s="57" t="s">
        <v>190</v>
      </c>
      <c r="F11" s="54" t="s">
        <v>193</v>
      </c>
      <c r="G11" s="54" t="s">
        <v>195</v>
      </c>
    </row>
    <row r="12">
      <c r="B12" s="48" t="s">
        <v>197</v>
      </c>
      <c r="C12" s="50" t="s">
        <v>198</v>
      </c>
      <c r="D12" s="52" t="s">
        <v>200</v>
      </c>
      <c r="E12" s="58" t="s">
        <v>205</v>
      </c>
      <c r="F12" s="54" t="s">
        <v>207</v>
      </c>
      <c r="G12" s="54" t="s">
        <v>208</v>
      </c>
    </row>
    <row r="13">
      <c r="B13" s="48" t="s">
        <v>197</v>
      </c>
      <c r="C13" s="50" t="s">
        <v>209</v>
      </c>
      <c r="D13" s="52" t="s">
        <v>211</v>
      </c>
      <c r="E13" s="61" t="s">
        <v>212</v>
      </c>
      <c r="F13" s="54" t="s">
        <v>214</v>
      </c>
      <c r="G13" s="54" t="s">
        <v>216</v>
      </c>
    </row>
    <row r="14">
      <c r="B14" s="48" t="s">
        <v>218</v>
      </c>
      <c r="C14" s="50" t="s">
        <v>220</v>
      </c>
      <c r="D14" s="52" t="s">
        <v>222</v>
      </c>
      <c r="E14" s="64" t="s">
        <v>225</v>
      </c>
      <c r="F14" s="54" t="s">
        <v>226</v>
      </c>
      <c r="G14" s="54" t="s">
        <v>227</v>
      </c>
    </row>
    <row r="15">
      <c r="B15" s="48" t="s">
        <v>228</v>
      </c>
      <c r="C15" s="50" t="s">
        <v>229</v>
      </c>
      <c r="D15" s="52" t="s">
        <v>230</v>
      </c>
      <c r="E15" s="65" t="s">
        <v>231</v>
      </c>
      <c r="F15" s="54" t="s">
        <v>232</v>
      </c>
      <c r="G15" s="54" t="s">
        <v>233</v>
      </c>
    </row>
    <row r="16">
      <c r="B16" s="48" t="s">
        <v>228</v>
      </c>
      <c r="C16" s="50" t="s">
        <v>235</v>
      </c>
      <c r="D16" s="52" t="s">
        <v>236</v>
      </c>
      <c r="E16" s="66" t="s">
        <v>238</v>
      </c>
      <c r="F16" s="54" t="s">
        <v>248</v>
      </c>
      <c r="G16" s="54" t="s">
        <v>250</v>
      </c>
    </row>
    <row r="17">
      <c r="B17" s="48" t="s">
        <v>251</v>
      </c>
      <c r="C17" s="50" t="s">
        <v>252</v>
      </c>
      <c r="D17" s="52" t="s">
        <v>254</v>
      </c>
      <c r="E17" s="67" t="s">
        <v>256</v>
      </c>
      <c r="F17" s="54" t="s">
        <v>260</v>
      </c>
      <c r="G17" s="54" t="s">
        <v>261</v>
      </c>
    </row>
    <row r="18">
      <c r="B18" s="48" t="s">
        <v>251</v>
      </c>
      <c r="C18" s="50" t="s">
        <v>263</v>
      </c>
      <c r="D18" s="52" t="s">
        <v>264</v>
      </c>
      <c r="E18" s="68" t="s">
        <v>267</v>
      </c>
      <c r="F18" s="54" t="s">
        <v>271</v>
      </c>
      <c r="G18" s="54" t="s">
        <v>273</v>
      </c>
    </row>
    <row r="19">
      <c r="B19" s="48" t="s">
        <v>275</v>
      </c>
      <c r="C19" s="50" t="s">
        <v>276</v>
      </c>
      <c r="D19" s="52" t="s">
        <v>278</v>
      </c>
      <c r="E19" s="69" t="s">
        <v>280</v>
      </c>
      <c r="F19" s="54" t="s">
        <v>283</v>
      </c>
      <c r="G19" s="54" t="s">
        <v>286</v>
      </c>
    </row>
    <row r="20">
      <c r="B20" s="48" t="s">
        <v>288</v>
      </c>
      <c r="C20" s="50" t="s">
        <v>290</v>
      </c>
      <c r="D20" s="52" t="s">
        <v>292</v>
      </c>
      <c r="E20" s="70" t="s">
        <v>295</v>
      </c>
      <c r="F20" s="54" t="s">
        <v>297</v>
      </c>
      <c r="G20" s="54" t="s">
        <v>298</v>
      </c>
    </row>
    <row r="21">
      <c r="B21" s="48" t="s">
        <v>300</v>
      </c>
      <c r="C21" s="50" t="s">
        <v>301</v>
      </c>
      <c r="D21" s="52" t="s">
        <v>302</v>
      </c>
      <c r="E21" s="71" t="s">
        <v>304</v>
      </c>
      <c r="F21" s="54" t="s">
        <v>307</v>
      </c>
      <c r="G21" s="54" t="s">
        <v>309</v>
      </c>
    </row>
    <row r="22">
      <c r="B22" s="48" t="s">
        <v>311</v>
      </c>
      <c r="C22" s="50" t="s">
        <v>313</v>
      </c>
      <c r="D22" s="52" t="s">
        <v>314</v>
      </c>
      <c r="E22" s="72" t="s">
        <v>316</v>
      </c>
      <c r="F22" s="54" t="s">
        <v>317</v>
      </c>
      <c r="G22" s="54" t="s">
        <v>318</v>
      </c>
    </row>
    <row r="23">
      <c r="B23" s="48" t="s">
        <v>319</v>
      </c>
      <c r="C23" s="50" t="s">
        <v>320</v>
      </c>
      <c r="D23" s="52" t="s">
        <v>321</v>
      </c>
      <c r="E23" s="73" t="s">
        <v>322</v>
      </c>
      <c r="F23" s="54" t="s">
        <v>323</v>
      </c>
      <c r="G23" s="54" t="s">
        <v>324</v>
      </c>
    </row>
    <row r="24">
      <c r="B24" s="48" t="s">
        <v>325</v>
      </c>
      <c r="C24" s="50" t="s">
        <v>326</v>
      </c>
      <c r="D24" s="52" t="s">
        <v>327</v>
      </c>
      <c r="E24" s="74" t="s">
        <v>328</v>
      </c>
      <c r="F24" s="54" t="s">
        <v>329</v>
      </c>
      <c r="G24" s="54" t="s">
        <v>330</v>
      </c>
    </row>
    <row r="25">
      <c r="G25" s="75"/>
    </row>
    <row r="26" ht="22.5" customHeight="1">
      <c r="B26" s="44" t="s">
        <v>331</v>
      </c>
      <c r="C26" s="44" t="s">
        <v>332</v>
      </c>
      <c r="D26" s="44" t="s">
        <v>333</v>
      </c>
      <c r="E26" s="44" t="s">
        <v>334</v>
      </c>
      <c r="F26" s="44" t="s">
        <v>335</v>
      </c>
      <c r="G26" s="44" t="s">
        <v>336</v>
      </c>
    </row>
    <row r="27">
      <c r="B27" s="76" t="s">
        <v>337</v>
      </c>
      <c r="C27" s="77" t="s">
        <v>338</v>
      </c>
      <c r="D27" s="52" t="s">
        <v>339</v>
      </c>
      <c r="E27" s="48" t="s">
        <v>340</v>
      </c>
      <c r="F27" s="48" t="s">
        <v>341</v>
      </c>
      <c r="G27" s="54" t="s">
        <v>342</v>
      </c>
    </row>
    <row r="28">
      <c r="B28" s="76" t="s">
        <v>343</v>
      </c>
      <c r="C28" s="77" t="s">
        <v>338</v>
      </c>
      <c r="D28" s="52" t="s">
        <v>344</v>
      </c>
      <c r="E28" s="48" t="s">
        <v>345</v>
      </c>
      <c r="F28" s="48" t="s">
        <v>346</v>
      </c>
      <c r="G28" s="54" t="s">
        <v>347</v>
      </c>
    </row>
    <row r="29">
      <c r="B29" s="76" t="s">
        <v>348</v>
      </c>
      <c r="C29" s="77" t="s">
        <v>349</v>
      </c>
      <c r="D29" s="52" t="s">
        <v>350</v>
      </c>
      <c r="E29" s="48" t="s">
        <v>351</v>
      </c>
      <c r="F29" s="78">
        <v>46113.0</v>
      </c>
      <c r="G29" s="54" t="s">
        <v>352</v>
      </c>
    </row>
    <row r="30">
      <c r="B30" s="76" t="s">
        <v>353</v>
      </c>
      <c r="C30" s="77" t="s">
        <v>354</v>
      </c>
      <c r="D30" s="52" t="s">
        <v>355</v>
      </c>
      <c r="E30" s="48" t="s">
        <v>356</v>
      </c>
      <c r="F30" s="48" t="s">
        <v>357</v>
      </c>
      <c r="G30" s="54" t="s">
        <v>358</v>
      </c>
    </row>
    <row r="31">
      <c r="B31" s="76" t="s">
        <v>359</v>
      </c>
      <c r="C31" s="77" t="s">
        <v>354</v>
      </c>
      <c r="D31" s="52" t="s">
        <v>360</v>
      </c>
      <c r="E31" s="48" t="s">
        <v>361</v>
      </c>
      <c r="F31" s="48" t="s">
        <v>362</v>
      </c>
      <c r="G31" s="54" t="s">
        <v>363</v>
      </c>
    </row>
    <row r="32">
      <c r="B32" s="76" t="s">
        <v>364</v>
      </c>
      <c r="C32" s="77" t="s">
        <v>354</v>
      </c>
      <c r="D32" s="52" t="s">
        <v>365</v>
      </c>
      <c r="E32" s="48" t="s">
        <v>366</v>
      </c>
      <c r="F32" s="78">
        <v>46174.0</v>
      </c>
      <c r="G32" s="54" t="s">
        <v>367</v>
      </c>
    </row>
    <row r="33">
      <c r="B33" s="76" t="s">
        <v>368</v>
      </c>
      <c r="C33" s="77" t="s">
        <v>354</v>
      </c>
      <c r="D33" s="52" t="s">
        <v>369</v>
      </c>
      <c r="E33" s="48" t="s">
        <v>370</v>
      </c>
      <c r="F33" s="48" t="s">
        <v>371</v>
      </c>
      <c r="G33" s="54" t="s">
        <v>372</v>
      </c>
    </row>
    <row r="34">
      <c r="B34" s="76" t="s">
        <v>373</v>
      </c>
      <c r="C34" s="77" t="s">
        <v>354</v>
      </c>
      <c r="D34" s="52" t="s">
        <v>374</v>
      </c>
      <c r="E34" s="48" t="s">
        <v>375</v>
      </c>
      <c r="F34" s="48" t="s">
        <v>376</v>
      </c>
      <c r="G34" s="54" t="s">
        <v>377</v>
      </c>
    </row>
    <row r="35">
      <c r="G35" s="75"/>
    </row>
    <row r="36" ht="22.5" customHeight="1">
      <c r="B36" s="44" t="s">
        <v>378</v>
      </c>
      <c r="C36" s="44" t="s">
        <v>379</v>
      </c>
      <c r="D36" s="44" t="s">
        <v>380</v>
      </c>
      <c r="E36" s="44" t="s">
        <v>381</v>
      </c>
      <c r="F36" s="44" t="s">
        <v>382</v>
      </c>
      <c r="G36" s="44" t="s">
        <v>383</v>
      </c>
    </row>
    <row r="37">
      <c r="B37" s="76" t="s">
        <v>384</v>
      </c>
      <c r="C37" s="54" t="s">
        <v>385</v>
      </c>
      <c r="D37" s="50" t="s">
        <v>386</v>
      </c>
      <c r="E37" s="50" t="s">
        <v>387</v>
      </c>
      <c r="F37" s="54" t="s">
        <v>388</v>
      </c>
      <c r="G37" s="54" t="s">
        <v>389</v>
      </c>
    </row>
    <row r="38">
      <c r="B38" s="76" t="s">
        <v>390</v>
      </c>
      <c r="C38" s="54" t="s">
        <v>391</v>
      </c>
      <c r="D38" s="50" t="s">
        <v>392</v>
      </c>
      <c r="E38" s="50" t="s">
        <v>393</v>
      </c>
      <c r="F38" s="54" t="s">
        <v>394</v>
      </c>
      <c r="G38" s="54" t="s">
        <v>395</v>
      </c>
    </row>
    <row r="39">
      <c r="B39" s="76" t="s">
        <v>396</v>
      </c>
      <c r="C39" s="54" t="s">
        <v>397</v>
      </c>
      <c r="D39" s="50" t="s">
        <v>398</v>
      </c>
      <c r="E39" s="50" t="s">
        <v>399</v>
      </c>
      <c r="F39" s="54" t="s">
        <v>400</v>
      </c>
      <c r="G39" s="54" t="s">
        <v>401</v>
      </c>
    </row>
    <row r="40">
      <c r="B40" s="76" t="s">
        <v>402</v>
      </c>
      <c r="C40" s="54" t="s">
        <v>403</v>
      </c>
      <c r="D40" s="50" t="s">
        <v>404</v>
      </c>
      <c r="E40" s="50" t="s">
        <v>405</v>
      </c>
      <c r="F40" s="54" t="s">
        <v>406</v>
      </c>
      <c r="G40" s="54" t="s">
        <v>407</v>
      </c>
    </row>
    <row r="41">
      <c r="B41" s="76" t="s">
        <v>408</v>
      </c>
      <c r="C41" s="54" t="s">
        <v>409</v>
      </c>
      <c r="D41" s="50" t="s">
        <v>410</v>
      </c>
      <c r="E41" s="50" t="s">
        <v>411</v>
      </c>
      <c r="F41" s="54" t="s">
        <v>412</v>
      </c>
      <c r="G41" s="54" t="s">
        <v>413</v>
      </c>
    </row>
    <row r="42">
      <c r="B42" s="76" t="s">
        <v>414</v>
      </c>
      <c r="C42" s="54" t="s">
        <v>415</v>
      </c>
      <c r="D42" s="50" t="s">
        <v>416</v>
      </c>
      <c r="E42" s="50" t="s">
        <v>417</v>
      </c>
      <c r="F42" s="54" t="s">
        <v>418</v>
      </c>
      <c r="G42" s="54" t="s">
        <v>419</v>
      </c>
    </row>
    <row r="43">
      <c r="B43" s="76" t="s">
        <v>420</v>
      </c>
      <c r="C43" s="54" t="s">
        <v>421</v>
      </c>
      <c r="D43" s="50" t="s">
        <v>422</v>
      </c>
      <c r="E43" s="50" t="s">
        <v>417</v>
      </c>
      <c r="F43" s="54" t="s">
        <v>423</v>
      </c>
      <c r="G43" s="54" t="s">
        <v>424</v>
      </c>
    </row>
    <row r="44">
      <c r="B44" s="76" t="s">
        <v>425</v>
      </c>
      <c r="C44" s="54" t="s">
        <v>426</v>
      </c>
      <c r="D44" s="50" t="s">
        <v>427</v>
      </c>
      <c r="E44" s="50" t="s">
        <v>428</v>
      </c>
      <c r="F44" s="54" t="s">
        <v>429</v>
      </c>
      <c r="G44" s="54" t="s">
        <v>430</v>
      </c>
    </row>
    <row r="45">
      <c r="B45" s="76" t="s">
        <v>431</v>
      </c>
      <c r="C45" s="54" t="s">
        <v>432</v>
      </c>
      <c r="D45" s="50" t="s">
        <v>433</v>
      </c>
      <c r="E45" s="50" t="s">
        <v>434</v>
      </c>
      <c r="F45" s="54" t="s">
        <v>435</v>
      </c>
      <c r="G45" s="54" t="s">
        <v>436</v>
      </c>
    </row>
    <row r="46">
      <c r="B46" s="76" t="s">
        <v>437</v>
      </c>
      <c r="C46" s="54" t="s">
        <v>438</v>
      </c>
      <c r="D46" s="50" t="s">
        <v>439</v>
      </c>
      <c r="E46" s="50" t="s">
        <v>440</v>
      </c>
      <c r="F46" s="54" t="s">
        <v>441</v>
      </c>
      <c r="G46" s="54" t="s">
        <v>442</v>
      </c>
    </row>
    <row r="48" ht="22.5" customHeight="1">
      <c r="B48" s="44" t="s">
        <v>443</v>
      </c>
      <c r="C48" s="44" t="s">
        <v>444</v>
      </c>
      <c r="D48" s="44" t="s">
        <v>445</v>
      </c>
      <c r="E48" s="44" t="s">
        <v>446</v>
      </c>
      <c r="F48" s="44" t="s">
        <v>447</v>
      </c>
      <c r="G48" s="44" t="s">
        <v>448</v>
      </c>
    </row>
    <row r="49">
      <c r="B49" s="79" t="s">
        <v>449</v>
      </c>
      <c r="C49" s="80" t="s">
        <v>450</v>
      </c>
      <c r="D49" s="48" t="s">
        <v>451</v>
      </c>
      <c r="E49" s="50" t="s">
        <v>452</v>
      </c>
      <c r="F49" s="54" t="s">
        <v>453</v>
      </c>
      <c r="G49" s="77" t="s">
        <v>454</v>
      </c>
    </row>
    <row r="50">
      <c r="B50" s="79" t="s">
        <v>455</v>
      </c>
      <c r="C50" s="80" t="s">
        <v>456</v>
      </c>
      <c r="D50" s="48" t="s">
        <v>457</v>
      </c>
      <c r="E50" s="50" t="s">
        <v>458</v>
      </c>
      <c r="F50" s="54" t="s">
        <v>459</v>
      </c>
      <c r="G50" s="77" t="s">
        <v>460</v>
      </c>
    </row>
    <row r="51">
      <c r="B51" s="79" t="s">
        <v>461</v>
      </c>
      <c r="C51" s="80" t="s">
        <v>462</v>
      </c>
      <c r="D51" s="48" t="s">
        <v>463</v>
      </c>
      <c r="E51" s="50" t="s">
        <v>464</v>
      </c>
      <c r="F51" s="54" t="s">
        <v>465</v>
      </c>
      <c r="G51" s="77" t="s">
        <v>466</v>
      </c>
    </row>
    <row r="52">
      <c r="B52" s="79" t="s">
        <v>467</v>
      </c>
      <c r="C52" s="80" t="s">
        <v>468</v>
      </c>
      <c r="D52" s="48" t="s">
        <v>469</v>
      </c>
      <c r="E52" s="50" t="s">
        <v>470</v>
      </c>
      <c r="F52" s="54" t="s">
        <v>471</v>
      </c>
      <c r="G52" s="77" t="s">
        <v>472</v>
      </c>
    </row>
    <row r="53">
      <c r="B53" s="79" t="s">
        <v>473</v>
      </c>
      <c r="C53" s="80" t="s">
        <v>474</v>
      </c>
      <c r="D53" s="48" t="s">
        <v>475</v>
      </c>
      <c r="E53" s="50" t="s">
        <v>476</v>
      </c>
      <c r="F53" s="54" t="s">
        <v>477</v>
      </c>
      <c r="G53" s="77" t="s">
        <v>478</v>
      </c>
    </row>
    <row r="54">
      <c r="B54" s="79" t="s">
        <v>479</v>
      </c>
      <c r="C54" s="80" t="s">
        <v>480</v>
      </c>
      <c r="D54" s="48" t="s">
        <v>481</v>
      </c>
      <c r="E54" s="50" t="s">
        <v>482</v>
      </c>
      <c r="F54" s="54" t="s">
        <v>483</v>
      </c>
      <c r="G54" s="77" t="s">
        <v>484</v>
      </c>
    </row>
    <row r="55">
      <c r="B55" s="79" t="s">
        <v>485</v>
      </c>
      <c r="C55" s="80" t="s">
        <v>486</v>
      </c>
      <c r="D55" s="48" t="s">
        <v>487</v>
      </c>
      <c r="E55" s="50" t="s">
        <v>488</v>
      </c>
      <c r="F55" s="54" t="s">
        <v>489</v>
      </c>
      <c r="G55" s="77" t="s">
        <v>490</v>
      </c>
    </row>
    <row r="56">
      <c r="B56" s="79" t="s">
        <v>491</v>
      </c>
      <c r="C56" s="80" t="s">
        <v>492</v>
      </c>
      <c r="D56" s="48" t="s">
        <v>493</v>
      </c>
      <c r="E56" s="50" t="s">
        <v>494</v>
      </c>
      <c r="F56" s="54" t="s">
        <v>495</v>
      </c>
      <c r="G56" s="77" t="s">
        <v>496</v>
      </c>
    </row>
    <row r="57">
      <c r="B57" s="79" t="s">
        <v>497</v>
      </c>
      <c r="C57" s="81" t="s">
        <v>500</v>
      </c>
      <c r="D57" s="48" t="s">
        <v>502</v>
      </c>
      <c r="E57" s="82" t="s">
        <v>504</v>
      </c>
      <c r="F57" s="83" t="s">
        <v>508</v>
      </c>
      <c r="G57" s="77" t="s">
        <v>511</v>
      </c>
    </row>
    <row r="58" ht="28.5" customHeight="1">
      <c r="B58" s="84" t="s">
        <v>514</v>
      </c>
      <c r="C58" s="85"/>
      <c r="D58" s="85"/>
      <c r="E58" s="85"/>
      <c r="F58" s="85"/>
      <c r="G58" s="86"/>
    </row>
    <row r="59" ht="24.0" customHeight="1">
      <c r="B59" s="87" t="s">
        <v>530</v>
      </c>
      <c r="C59" s="87" t="s">
        <v>537</v>
      </c>
      <c r="D59" s="87" t="s">
        <v>539</v>
      </c>
      <c r="E59" s="87" t="s">
        <v>541</v>
      </c>
      <c r="F59" s="87" t="s">
        <v>544</v>
      </c>
      <c r="G59" s="87" t="s">
        <v>546</v>
      </c>
    </row>
    <row r="60" ht="22.5" customHeight="1">
      <c r="B60" s="88" t="s">
        <v>549</v>
      </c>
      <c r="C60" s="89" t="s">
        <v>125</v>
      </c>
      <c r="D60" s="91" t="s">
        <v>565</v>
      </c>
      <c r="E60" s="93" t="s">
        <v>568</v>
      </c>
      <c r="F60" s="95" t="s">
        <v>570</v>
      </c>
      <c r="G60" s="96" t="s">
        <v>573</v>
      </c>
    </row>
    <row r="61" ht="22.5" customHeight="1">
      <c r="B61" s="88" t="s">
        <v>574</v>
      </c>
      <c r="C61" s="97" t="s">
        <v>154</v>
      </c>
      <c r="D61" s="98" t="s">
        <v>575</v>
      </c>
      <c r="E61" s="93" t="s">
        <v>576</v>
      </c>
      <c r="F61" s="95" t="s">
        <v>577</v>
      </c>
      <c r="G61" s="96" t="s">
        <v>578</v>
      </c>
    </row>
    <row r="62" ht="22.5" customHeight="1">
      <c r="B62" s="88" t="s">
        <v>579</v>
      </c>
      <c r="C62" s="99" t="s">
        <v>170</v>
      </c>
      <c r="D62" s="100" t="s">
        <v>580</v>
      </c>
      <c r="E62" s="93" t="s">
        <v>581</v>
      </c>
      <c r="F62" s="95" t="s">
        <v>582</v>
      </c>
      <c r="G62" s="96" t="s">
        <v>583</v>
      </c>
    </row>
    <row r="63" ht="22.5" customHeight="1">
      <c r="B63" s="88" t="s">
        <v>584</v>
      </c>
      <c r="C63" s="101" t="s">
        <v>185</v>
      </c>
      <c r="D63" s="102" t="s">
        <v>585</v>
      </c>
      <c r="E63" s="93" t="s">
        <v>586</v>
      </c>
      <c r="F63" s="95" t="s">
        <v>587</v>
      </c>
      <c r="G63" s="96" t="s">
        <v>588</v>
      </c>
    </row>
    <row r="64" ht="22.5" customHeight="1">
      <c r="B64" s="88" t="s">
        <v>589</v>
      </c>
      <c r="C64" s="103" t="s">
        <v>205</v>
      </c>
      <c r="D64" s="104" t="s">
        <v>590</v>
      </c>
      <c r="E64" s="93" t="s">
        <v>591</v>
      </c>
      <c r="F64" s="95" t="s">
        <v>592</v>
      </c>
      <c r="G64" s="96" t="s">
        <v>593</v>
      </c>
    </row>
    <row r="65" ht="22.5" customHeight="1">
      <c r="B65" s="88" t="s">
        <v>594</v>
      </c>
      <c r="C65" s="105" t="s">
        <v>212</v>
      </c>
      <c r="D65" s="106" t="s">
        <v>595</v>
      </c>
      <c r="E65" s="93" t="s">
        <v>596</v>
      </c>
      <c r="F65" s="95" t="s">
        <v>597</v>
      </c>
      <c r="G65" s="96" t="s">
        <v>598</v>
      </c>
    </row>
    <row r="66" ht="22.5" customHeight="1">
      <c r="B66" s="88" t="s">
        <v>599</v>
      </c>
      <c r="C66" s="107" t="s">
        <v>225</v>
      </c>
      <c r="D66" s="108" t="s">
        <v>600</v>
      </c>
      <c r="E66" s="93" t="s">
        <v>601</v>
      </c>
      <c r="F66" s="95" t="s">
        <v>602</v>
      </c>
      <c r="G66" s="96" t="s">
        <v>603</v>
      </c>
    </row>
    <row r="67" ht="22.5" customHeight="1">
      <c r="B67" s="88" t="s">
        <v>604</v>
      </c>
      <c r="C67" s="109" t="s">
        <v>231</v>
      </c>
      <c r="D67" s="110" t="s">
        <v>605</v>
      </c>
      <c r="E67" s="93" t="s">
        <v>606</v>
      </c>
      <c r="F67" s="95" t="s">
        <v>607</v>
      </c>
      <c r="G67" s="96" t="s">
        <v>608</v>
      </c>
    </row>
    <row r="68" ht="22.5" customHeight="1">
      <c r="B68" s="88" t="s">
        <v>609</v>
      </c>
      <c r="C68" s="111" t="s">
        <v>238</v>
      </c>
      <c r="D68" s="112" t="s">
        <v>610</v>
      </c>
      <c r="E68" s="93" t="s">
        <v>611</v>
      </c>
      <c r="F68" s="95" t="s">
        <v>612</v>
      </c>
      <c r="G68" s="96" t="s">
        <v>250</v>
      </c>
    </row>
    <row r="69" ht="22.5" customHeight="1">
      <c r="B69" s="88" t="s">
        <v>613</v>
      </c>
      <c r="C69" s="113" t="s">
        <v>256</v>
      </c>
      <c r="D69" s="114" t="s">
        <v>614</v>
      </c>
      <c r="E69" s="93" t="s">
        <v>615</v>
      </c>
      <c r="F69" s="95" t="s">
        <v>616</v>
      </c>
      <c r="G69" s="96" t="s">
        <v>617</v>
      </c>
    </row>
    <row r="70" ht="22.5" customHeight="1">
      <c r="B70" s="88" t="s">
        <v>618</v>
      </c>
      <c r="C70" s="115" t="s">
        <v>267</v>
      </c>
      <c r="D70" s="116" t="s">
        <v>619</v>
      </c>
      <c r="E70" s="93" t="s">
        <v>620</v>
      </c>
      <c r="F70" s="95" t="s">
        <v>621</v>
      </c>
      <c r="G70" s="96" t="s">
        <v>273</v>
      </c>
    </row>
    <row r="71" ht="22.5" customHeight="1">
      <c r="B71" s="88" t="s">
        <v>622</v>
      </c>
      <c r="C71" s="117" t="s">
        <v>280</v>
      </c>
      <c r="D71" s="118" t="s">
        <v>623</v>
      </c>
      <c r="E71" s="93" t="s">
        <v>624</v>
      </c>
      <c r="F71" s="95" t="s">
        <v>625</v>
      </c>
      <c r="G71" s="96" t="s">
        <v>626</v>
      </c>
    </row>
    <row r="72" ht="22.5" customHeight="1">
      <c r="B72" s="88" t="s">
        <v>627</v>
      </c>
      <c r="C72" s="119" t="s">
        <v>295</v>
      </c>
      <c r="D72" s="120" t="s">
        <v>628</v>
      </c>
      <c r="E72" s="93" t="s">
        <v>629</v>
      </c>
      <c r="F72" s="95" t="s">
        <v>630</v>
      </c>
      <c r="G72" s="96" t="s">
        <v>631</v>
      </c>
    </row>
    <row r="73" ht="22.5" customHeight="1">
      <c r="B73" s="88" t="s">
        <v>632</v>
      </c>
      <c r="C73" s="121" t="s">
        <v>304</v>
      </c>
      <c r="D73" s="122" t="s">
        <v>633</v>
      </c>
      <c r="E73" s="93" t="s">
        <v>634</v>
      </c>
      <c r="F73" s="95" t="s">
        <v>635</v>
      </c>
      <c r="G73" s="96" t="s">
        <v>636</v>
      </c>
    </row>
    <row r="74" ht="22.5" customHeight="1">
      <c r="B74" s="88" t="s">
        <v>637</v>
      </c>
      <c r="C74" s="123" t="s">
        <v>316</v>
      </c>
      <c r="D74" s="124" t="s">
        <v>638</v>
      </c>
      <c r="E74" s="93" t="s">
        <v>639</v>
      </c>
      <c r="F74" s="95" t="s">
        <v>640</v>
      </c>
      <c r="G74" s="96" t="s">
        <v>641</v>
      </c>
    </row>
    <row r="75" ht="22.5" customHeight="1">
      <c r="B75" s="88" t="s">
        <v>642</v>
      </c>
      <c r="C75" s="125" t="s">
        <v>322</v>
      </c>
      <c r="D75" s="126" t="s">
        <v>643</v>
      </c>
      <c r="E75" s="93" t="s">
        <v>644</v>
      </c>
      <c r="F75" s="95" t="s">
        <v>645</v>
      </c>
      <c r="G75" s="96" t="s">
        <v>646</v>
      </c>
    </row>
    <row r="76" ht="22.5" customHeight="1">
      <c r="B76" s="88" t="s">
        <v>647</v>
      </c>
      <c r="C76" s="127" t="s">
        <v>328</v>
      </c>
      <c r="D76" s="98" t="s">
        <v>575</v>
      </c>
      <c r="E76" s="93" t="s">
        <v>648</v>
      </c>
      <c r="F76" s="95" t="s">
        <v>649</v>
      </c>
      <c r="G76" s="96" t="s">
        <v>330</v>
      </c>
    </row>
    <row r="77" ht="22.5" customHeight="1">
      <c r="B77" s="128"/>
      <c r="C77" s="129"/>
      <c r="D77" s="130"/>
      <c r="E77" s="131"/>
      <c r="F77" s="132"/>
      <c r="G77" s="133"/>
    </row>
    <row r="78" ht="22.5" customHeight="1">
      <c r="B78" s="134" t="s">
        <v>650</v>
      </c>
      <c r="C78" s="85"/>
      <c r="D78" s="85"/>
      <c r="E78" s="85"/>
      <c r="F78" s="85"/>
      <c r="G78" s="86"/>
    </row>
    <row r="79" ht="22.5" customHeight="1">
      <c r="B79" s="135" t="s">
        <v>651</v>
      </c>
      <c r="C79" s="87" t="s">
        <v>652</v>
      </c>
      <c r="D79" s="87" t="s">
        <v>653</v>
      </c>
      <c r="E79" s="135" t="s">
        <v>654</v>
      </c>
      <c r="F79" s="135" t="s">
        <v>655</v>
      </c>
      <c r="G79" s="135" t="s">
        <v>656</v>
      </c>
    </row>
    <row r="80" ht="22.5" customHeight="1">
      <c r="B80" s="136" t="s">
        <v>657</v>
      </c>
      <c r="C80" s="137" t="s">
        <v>658</v>
      </c>
      <c r="D80" s="138" t="s">
        <v>659</v>
      </c>
      <c r="E80" s="139" t="s">
        <v>660</v>
      </c>
      <c r="F80" s="139" t="s">
        <v>661</v>
      </c>
      <c r="G80" s="140" t="s">
        <v>662</v>
      </c>
    </row>
    <row r="81" ht="22.5" customHeight="1">
      <c r="B81" s="145" t="s">
        <v>664</v>
      </c>
      <c r="C81" s="147" t="s">
        <v>812</v>
      </c>
      <c r="D81" s="149" t="s">
        <v>813</v>
      </c>
      <c r="E81" s="150" t="s">
        <v>814</v>
      </c>
      <c r="F81" s="150" t="s">
        <v>815</v>
      </c>
      <c r="G81" s="152" t="s">
        <v>662</v>
      </c>
    </row>
    <row r="82" ht="22.5" customHeight="1">
      <c r="B82" s="136" t="s">
        <v>817</v>
      </c>
      <c r="C82" s="137" t="s">
        <v>818</v>
      </c>
      <c r="D82" s="138" t="s">
        <v>819</v>
      </c>
      <c r="E82" s="139" t="s">
        <v>820</v>
      </c>
      <c r="F82" s="139" t="s">
        <v>821</v>
      </c>
      <c r="G82" s="140" t="s">
        <v>662</v>
      </c>
    </row>
    <row r="83" ht="22.5" customHeight="1">
      <c r="B83" s="145" t="s">
        <v>823</v>
      </c>
      <c r="C83" s="147" t="s">
        <v>824</v>
      </c>
      <c r="D83" s="149" t="s">
        <v>825</v>
      </c>
      <c r="E83" s="150" t="s">
        <v>826</v>
      </c>
      <c r="F83" s="150" t="s">
        <v>827</v>
      </c>
      <c r="G83" s="152" t="s">
        <v>828</v>
      </c>
    </row>
    <row r="84" ht="22.5" customHeight="1">
      <c r="B84" s="136" t="s">
        <v>829</v>
      </c>
      <c r="C84" s="137" t="s">
        <v>830</v>
      </c>
      <c r="D84" s="138" t="s">
        <v>831</v>
      </c>
      <c r="E84" s="139" t="s">
        <v>833</v>
      </c>
      <c r="F84" s="139" t="s">
        <v>834</v>
      </c>
      <c r="G84" s="140" t="s">
        <v>662</v>
      </c>
    </row>
    <row r="85" ht="22.5" customHeight="1">
      <c r="B85" s="145" t="s">
        <v>835</v>
      </c>
      <c r="C85" s="147" t="s">
        <v>836</v>
      </c>
      <c r="D85" s="149" t="s">
        <v>837</v>
      </c>
      <c r="E85" s="150" t="s">
        <v>838</v>
      </c>
      <c r="F85" s="150" t="s">
        <v>839</v>
      </c>
      <c r="G85" s="152" t="s">
        <v>662</v>
      </c>
    </row>
    <row r="86" ht="22.5" customHeight="1">
      <c r="B86" s="128"/>
      <c r="C86" s="129"/>
      <c r="D86" s="130"/>
      <c r="E86" s="131"/>
      <c r="F86" s="132"/>
      <c r="G86" s="133"/>
    </row>
    <row r="87" ht="22.5" customHeight="1">
      <c r="B87" s="128"/>
      <c r="C87" s="129"/>
      <c r="D87" s="130"/>
      <c r="E87" s="131"/>
      <c r="F87" s="132"/>
      <c r="G87" s="133"/>
    </row>
    <row r="88" ht="22.5" customHeight="1">
      <c r="B88" s="128" t="s">
        <v>840</v>
      </c>
      <c r="C88" s="129"/>
      <c r="D88" s="130"/>
      <c r="E88" s="131"/>
      <c r="F88" s="132"/>
      <c r="G88" s="133"/>
    </row>
    <row r="89" ht="22.5" customHeight="1">
      <c r="B89" s="128" t="s">
        <v>841</v>
      </c>
      <c r="C89" s="129" t="s">
        <v>842</v>
      </c>
      <c r="D89" s="130" t="s">
        <v>843</v>
      </c>
      <c r="E89" s="131" t="s">
        <v>844</v>
      </c>
      <c r="F89" s="132" t="s">
        <v>845</v>
      </c>
      <c r="G89" s="133" t="s">
        <v>846</v>
      </c>
    </row>
    <row r="90" ht="22.5" customHeight="1">
      <c r="B90" s="128" t="s">
        <v>847</v>
      </c>
      <c r="C90" s="129" t="s">
        <v>848</v>
      </c>
      <c r="D90" s="130" t="s">
        <v>849</v>
      </c>
      <c r="E90" s="131" t="s">
        <v>850</v>
      </c>
      <c r="F90" s="132" t="s">
        <v>851</v>
      </c>
      <c r="G90" s="133" t="s">
        <v>852</v>
      </c>
    </row>
    <row r="91" ht="22.5" customHeight="1">
      <c r="B91" s="128" t="s">
        <v>853</v>
      </c>
      <c r="C91" s="129" t="s">
        <v>854</v>
      </c>
      <c r="D91" s="130" t="s">
        <v>849</v>
      </c>
      <c r="E91" s="131" t="s">
        <v>855</v>
      </c>
      <c r="F91" s="132" t="s">
        <v>856</v>
      </c>
      <c r="G91" s="133" t="s">
        <v>852</v>
      </c>
    </row>
    <row r="92" ht="22.5" customHeight="1">
      <c r="B92" s="128" t="s">
        <v>857</v>
      </c>
      <c r="C92" s="129" t="s">
        <v>858</v>
      </c>
      <c r="D92" s="130" t="s">
        <v>849</v>
      </c>
      <c r="E92" s="131" t="s">
        <v>859</v>
      </c>
      <c r="F92" s="132" t="s">
        <v>860</v>
      </c>
      <c r="G92" s="133" t="s">
        <v>852</v>
      </c>
    </row>
  </sheetData>
  <mergeCells count="10">
    <mergeCell ref="F4:G5"/>
    <mergeCell ref="B58:G58"/>
    <mergeCell ref="B78:G78"/>
    <mergeCell ref="B1:G1"/>
    <mergeCell ref="B2:G2"/>
    <mergeCell ref="B3:C3"/>
    <mergeCell ref="D3:E3"/>
    <mergeCell ref="F3:G3"/>
    <mergeCell ref="B4:C5"/>
    <mergeCell ref="D4:E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31.57"/>
    <col customWidth="1" min="3" max="3" width="28.71"/>
    <col customWidth="1" min="4" max="4" width="40.14"/>
    <col customWidth="1" min="5" max="5" width="50.14"/>
    <col customWidth="1" min="6" max="6" width="45.86"/>
    <col customWidth="1" min="7" max="7" width="31.57"/>
    <col customWidth="1" min="8" max="9" width="43.0"/>
    <col customWidth="1" min="10" max="26" width="8.71"/>
  </cols>
  <sheetData>
    <row r="1" ht="27.0" customHeight="1">
      <c r="A1" s="1" t="s">
        <v>1</v>
      </c>
      <c r="B1" s="12" t="s">
        <v>3</v>
      </c>
      <c r="C1" s="12" t="s">
        <v>6</v>
      </c>
      <c r="D1" s="12" t="s">
        <v>7</v>
      </c>
      <c r="E1" s="12" t="s">
        <v>8</v>
      </c>
      <c r="F1" s="12" t="s">
        <v>10</v>
      </c>
      <c r="G1" s="12" t="s">
        <v>11</v>
      </c>
      <c r="H1" s="12" t="s">
        <v>12</v>
      </c>
      <c r="I1" s="20" t="s">
        <v>13</v>
      </c>
    </row>
    <row r="2" ht="64.5" customHeight="1">
      <c r="A2" s="30" t="s">
        <v>28</v>
      </c>
      <c r="B2" s="31" t="s">
        <v>64</v>
      </c>
      <c r="C2" s="32" t="s">
        <v>66</v>
      </c>
      <c r="D2" s="32" t="s">
        <v>68</v>
      </c>
      <c r="E2" s="32" t="s">
        <v>69</v>
      </c>
      <c r="F2" s="32" t="s">
        <v>70</v>
      </c>
      <c r="G2" s="32" t="s">
        <v>71</v>
      </c>
      <c r="H2" s="32" t="s">
        <v>72</v>
      </c>
      <c r="I2" s="37" t="s">
        <v>74</v>
      </c>
    </row>
    <row r="3" ht="64.5" customHeight="1">
      <c r="A3" s="39" t="s">
        <v>77</v>
      </c>
      <c r="B3" s="41" t="s">
        <v>78</v>
      </c>
      <c r="C3" s="43" t="s">
        <v>79</v>
      </c>
      <c r="D3" s="43" t="s">
        <v>80</v>
      </c>
      <c r="E3" s="43" t="s">
        <v>81</v>
      </c>
      <c r="F3" s="43" t="s">
        <v>82</v>
      </c>
      <c r="G3" s="43" t="s">
        <v>84</v>
      </c>
      <c r="H3" s="43" t="s">
        <v>86</v>
      </c>
      <c r="I3" s="46" t="s">
        <v>88</v>
      </c>
    </row>
    <row r="4" ht="64.5" customHeight="1">
      <c r="A4" s="30" t="s">
        <v>94</v>
      </c>
      <c r="B4" s="31" t="s">
        <v>98</v>
      </c>
      <c r="C4" s="32" t="s">
        <v>99</v>
      </c>
      <c r="D4" s="32" t="s">
        <v>100</v>
      </c>
      <c r="E4" s="32" t="s">
        <v>101</v>
      </c>
      <c r="F4" s="32" t="s">
        <v>103</v>
      </c>
      <c r="G4" s="32" t="s">
        <v>104</v>
      </c>
      <c r="H4" s="32" t="s">
        <v>105</v>
      </c>
      <c r="I4" s="37" t="s">
        <v>106</v>
      </c>
    </row>
    <row r="5" ht="64.5" customHeight="1">
      <c r="A5" s="39" t="s">
        <v>108</v>
      </c>
      <c r="B5" s="41" t="s">
        <v>109</v>
      </c>
      <c r="C5" s="43" t="s">
        <v>110</v>
      </c>
      <c r="D5" s="43" t="s">
        <v>111</v>
      </c>
      <c r="E5" s="43" t="s">
        <v>113</v>
      </c>
      <c r="F5" s="43" t="s">
        <v>115</v>
      </c>
      <c r="G5" s="43" t="s">
        <v>116</v>
      </c>
      <c r="H5" s="43" t="s">
        <v>117</v>
      </c>
      <c r="I5" s="46" t="s">
        <v>119</v>
      </c>
    </row>
    <row r="6" ht="64.5" customHeight="1">
      <c r="A6" s="30" t="s">
        <v>120</v>
      </c>
      <c r="B6" s="31" t="s">
        <v>121</v>
      </c>
      <c r="C6" s="32" t="s">
        <v>122</v>
      </c>
      <c r="D6" s="32" t="s">
        <v>123</v>
      </c>
      <c r="E6" s="32" t="s">
        <v>124</v>
      </c>
      <c r="F6" s="32" t="s">
        <v>126</v>
      </c>
      <c r="G6" s="32" t="s">
        <v>127</v>
      </c>
      <c r="H6" s="32" t="s">
        <v>128</v>
      </c>
      <c r="I6" s="37" t="s">
        <v>129</v>
      </c>
    </row>
    <row r="7" ht="64.5" customHeight="1">
      <c r="A7" s="39" t="s">
        <v>130</v>
      </c>
      <c r="B7" s="41" t="s">
        <v>131</v>
      </c>
      <c r="C7" s="43" t="s">
        <v>132</v>
      </c>
      <c r="D7" s="43" t="s">
        <v>133</v>
      </c>
      <c r="E7" s="43" t="s">
        <v>134</v>
      </c>
      <c r="F7" s="43" t="s">
        <v>135</v>
      </c>
      <c r="G7" s="43" t="s">
        <v>136</v>
      </c>
      <c r="H7" s="43" t="s">
        <v>137</v>
      </c>
      <c r="I7" s="46" t="s">
        <v>138</v>
      </c>
    </row>
    <row r="8" ht="64.5" customHeight="1">
      <c r="A8" s="30" t="s">
        <v>139</v>
      </c>
      <c r="B8" s="31" t="s">
        <v>140</v>
      </c>
      <c r="C8" s="32" t="s">
        <v>141</v>
      </c>
      <c r="D8" s="32" t="s">
        <v>142</v>
      </c>
      <c r="E8" s="32" t="s">
        <v>145</v>
      </c>
      <c r="F8" s="32" t="s">
        <v>147</v>
      </c>
      <c r="G8" s="32" t="s">
        <v>149</v>
      </c>
      <c r="H8" s="32" t="s">
        <v>151</v>
      </c>
      <c r="I8" s="37" t="s">
        <v>152</v>
      </c>
    </row>
    <row r="9">
      <c r="A9" s="39" t="s">
        <v>153</v>
      </c>
      <c r="B9" s="41" t="s">
        <v>155</v>
      </c>
      <c r="C9" s="43" t="s">
        <v>156</v>
      </c>
      <c r="D9" s="43" t="s">
        <v>157</v>
      </c>
      <c r="E9" s="43" t="s">
        <v>158</v>
      </c>
      <c r="F9" s="43" t="s">
        <v>159</v>
      </c>
      <c r="G9" s="43" t="s">
        <v>160</v>
      </c>
      <c r="H9" s="43" t="s">
        <v>162</v>
      </c>
      <c r="I9" s="46" t="s">
        <v>164</v>
      </c>
    </row>
    <row r="10">
      <c r="A10" s="30" t="s">
        <v>165</v>
      </c>
      <c r="B10" s="31" t="s">
        <v>166</v>
      </c>
      <c r="C10" s="32" t="s">
        <v>167</v>
      </c>
      <c r="D10" s="32" t="s">
        <v>169</v>
      </c>
      <c r="E10" s="32" t="s">
        <v>171</v>
      </c>
      <c r="F10" s="32" t="s">
        <v>172</v>
      </c>
      <c r="G10" s="32" t="s">
        <v>173</v>
      </c>
      <c r="H10" s="32" t="s">
        <v>174</v>
      </c>
      <c r="I10" s="37" t="s">
        <v>176</v>
      </c>
    </row>
    <row r="11">
      <c r="A11" s="39" t="s">
        <v>178</v>
      </c>
      <c r="B11" s="41" t="s">
        <v>180</v>
      </c>
      <c r="C11" s="43" t="s">
        <v>181</v>
      </c>
      <c r="D11" s="43" t="s">
        <v>182</v>
      </c>
      <c r="E11" s="43" t="s">
        <v>184</v>
      </c>
      <c r="F11" s="43" t="s">
        <v>186</v>
      </c>
      <c r="G11" s="43" t="s">
        <v>187</v>
      </c>
      <c r="H11" s="43" t="s">
        <v>188</v>
      </c>
      <c r="I11" s="46" t="s">
        <v>189</v>
      </c>
    </row>
    <row r="12">
      <c r="A12" s="30" t="s">
        <v>191</v>
      </c>
      <c r="B12" s="31" t="s">
        <v>192</v>
      </c>
      <c r="C12" s="32" t="s">
        <v>194</v>
      </c>
      <c r="D12" s="32" t="s">
        <v>196</v>
      </c>
      <c r="E12" s="32" t="s">
        <v>199</v>
      </c>
      <c r="F12" s="32" t="s">
        <v>201</v>
      </c>
      <c r="G12" s="32" t="s">
        <v>202</v>
      </c>
      <c r="H12" s="32" t="s">
        <v>203</v>
      </c>
      <c r="I12" s="37" t="s">
        <v>204</v>
      </c>
    </row>
    <row r="13">
      <c r="A13" s="59" t="s">
        <v>206</v>
      </c>
      <c r="B13" s="60" t="s">
        <v>210</v>
      </c>
      <c r="C13" s="62" t="s">
        <v>213</v>
      </c>
      <c r="D13" s="62" t="s">
        <v>215</v>
      </c>
      <c r="E13" s="62" t="s">
        <v>217</v>
      </c>
      <c r="F13" s="62" t="s">
        <v>219</v>
      </c>
      <c r="G13" s="62" t="s">
        <v>221</v>
      </c>
      <c r="H13" s="62" t="s">
        <v>223</v>
      </c>
      <c r="I13" s="63" t="s">
        <v>224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31.57"/>
    <col customWidth="1" min="3" max="3" width="28.71"/>
    <col customWidth="1" min="4" max="4" width="40.14"/>
    <col customWidth="1" min="5" max="5" width="50.14"/>
    <col customWidth="1" min="6" max="6" width="45.86"/>
    <col customWidth="1" min="7" max="7" width="31.57"/>
    <col customWidth="1" min="8" max="9" width="43.0"/>
    <col customWidth="1" min="10" max="26" width="8.71"/>
  </cols>
  <sheetData>
    <row r="1" ht="27.0" customHeight="1">
      <c r="A1" s="6" t="s">
        <v>1</v>
      </c>
      <c r="B1" s="8" t="s">
        <v>3</v>
      </c>
      <c r="C1" s="8" t="s">
        <v>6</v>
      </c>
      <c r="D1" s="8" t="s">
        <v>7</v>
      </c>
      <c r="E1" s="8" t="s">
        <v>8</v>
      </c>
      <c r="F1" s="8" t="s">
        <v>10</v>
      </c>
      <c r="G1" s="8" t="s">
        <v>11</v>
      </c>
      <c r="H1" s="8" t="s">
        <v>12</v>
      </c>
      <c r="I1" s="11" t="s">
        <v>13</v>
      </c>
    </row>
    <row r="2" ht="64.5" customHeight="1">
      <c r="A2" s="13" t="s">
        <v>16</v>
      </c>
      <c r="B2" s="15" t="s">
        <v>17</v>
      </c>
      <c r="C2" s="16" t="s">
        <v>18</v>
      </c>
      <c r="D2" s="16" t="s">
        <v>19</v>
      </c>
      <c r="E2" s="16" t="s">
        <v>20</v>
      </c>
      <c r="F2" s="16" t="s">
        <v>21</v>
      </c>
      <c r="G2" s="16" t="s">
        <v>22</v>
      </c>
      <c r="H2" s="16" t="s">
        <v>24</v>
      </c>
      <c r="I2" s="18" t="s">
        <v>25</v>
      </c>
    </row>
    <row r="3" ht="64.5" customHeight="1">
      <c r="A3" s="19" t="s">
        <v>26</v>
      </c>
      <c r="B3" s="21" t="s">
        <v>27</v>
      </c>
      <c r="C3" s="22" t="s">
        <v>29</v>
      </c>
      <c r="D3" s="22" t="s">
        <v>30</v>
      </c>
      <c r="E3" s="22" t="s">
        <v>31</v>
      </c>
      <c r="F3" s="22" t="s">
        <v>32</v>
      </c>
      <c r="G3" s="22" t="s">
        <v>33</v>
      </c>
      <c r="H3" s="22" t="s">
        <v>34</v>
      </c>
      <c r="I3" s="24" t="s">
        <v>35</v>
      </c>
    </row>
    <row r="4" ht="64.5" customHeight="1">
      <c r="A4" s="13" t="s">
        <v>36</v>
      </c>
      <c r="B4" s="15" t="s">
        <v>37</v>
      </c>
      <c r="C4" s="16" t="s">
        <v>38</v>
      </c>
      <c r="D4" s="16" t="s">
        <v>39</v>
      </c>
      <c r="E4" s="16" t="s">
        <v>40</v>
      </c>
      <c r="F4" s="16" t="s">
        <v>41</v>
      </c>
      <c r="G4" s="16" t="s">
        <v>42</v>
      </c>
      <c r="H4" s="16" t="s">
        <v>43</v>
      </c>
      <c r="I4" s="18" t="s">
        <v>44</v>
      </c>
    </row>
    <row r="5" ht="64.5" customHeight="1">
      <c r="A5" s="19" t="s">
        <v>45</v>
      </c>
      <c r="B5" s="21" t="s">
        <v>46</v>
      </c>
      <c r="C5" s="22" t="s">
        <v>47</v>
      </c>
      <c r="D5" s="22" t="s">
        <v>48</v>
      </c>
      <c r="E5" s="22" t="s">
        <v>49</v>
      </c>
      <c r="F5" s="22" t="s">
        <v>50</v>
      </c>
      <c r="G5" s="22" t="s">
        <v>51</v>
      </c>
      <c r="H5" s="22" t="s">
        <v>52</v>
      </c>
      <c r="I5" s="24" t="s">
        <v>53</v>
      </c>
    </row>
    <row r="6" ht="64.5" customHeight="1">
      <c r="A6" s="25" t="s">
        <v>54</v>
      </c>
      <c r="B6" s="26" t="s">
        <v>55</v>
      </c>
      <c r="C6" s="27" t="s">
        <v>56</v>
      </c>
      <c r="D6" s="27" t="s">
        <v>57</v>
      </c>
      <c r="E6" s="27" t="s">
        <v>58</v>
      </c>
      <c r="F6" s="27" t="s">
        <v>59</v>
      </c>
      <c r="G6" s="27" t="s">
        <v>60</v>
      </c>
      <c r="H6" s="27" t="s">
        <v>61</v>
      </c>
      <c r="I6" s="29" t="s">
        <v>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31.57"/>
    <col customWidth="1" min="3" max="3" width="28.71"/>
    <col customWidth="1" min="4" max="4" width="40.14"/>
    <col customWidth="1" min="5" max="5" width="50.14"/>
    <col customWidth="1" min="6" max="6" width="45.86"/>
    <col customWidth="1" min="7" max="7" width="31.57"/>
    <col customWidth="1" min="8" max="9" width="43.0"/>
    <col customWidth="1" min="10" max="26" width="8.71"/>
  </cols>
  <sheetData>
    <row r="1" ht="27.0" customHeight="1">
      <c r="A1" s="6" t="s">
        <v>1</v>
      </c>
      <c r="B1" s="8" t="s">
        <v>3</v>
      </c>
      <c r="C1" s="8" t="s">
        <v>6</v>
      </c>
      <c r="D1" s="8" t="s">
        <v>7</v>
      </c>
      <c r="E1" s="8" t="s">
        <v>8</v>
      </c>
      <c r="F1" s="8" t="s">
        <v>10</v>
      </c>
      <c r="G1" s="8" t="s">
        <v>11</v>
      </c>
      <c r="H1" s="8" t="s">
        <v>12</v>
      </c>
      <c r="I1" s="11" t="s">
        <v>13</v>
      </c>
    </row>
    <row r="2" ht="64.5" customHeight="1">
      <c r="A2" s="13" t="s">
        <v>234</v>
      </c>
      <c r="B2" s="15" t="s">
        <v>237</v>
      </c>
      <c r="C2" s="16" t="s">
        <v>239</v>
      </c>
      <c r="D2" s="16" t="s">
        <v>240</v>
      </c>
      <c r="E2" s="16" t="s">
        <v>241</v>
      </c>
      <c r="F2" s="16" t="s">
        <v>242</v>
      </c>
      <c r="G2" s="16" t="s">
        <v>243</v>
      </c>
      <c r="H2" s="32" t="s">
        <v>244</v>
      </c>
      <c r="I2" s="18" t="s">
        <v>245</v>
      </c>
    </row>
    <row r="3" ht="64.5" customHeight="1">
      <c r="A3" s="19" t="s">
        <v>246</v>
      </c>
      <c r="B3" s="21" t="s">
        <v>247</v>
      </c>
      <c r="C3" s="22" t="s">
        <v>249</v>
      </c>
      <c r="D3" s="22" t="s">
        <v>253</v>
      </c>
      <c r="E3" s="22" t="s">
        <v>255</v>
      </c>
      <c r="F3" s="22" t="s">
        <v>257</v>
      </c>
      <c r="G3" s="22" t="s">
        <v>258</v>
      </c>
      <c r="H3" s="22" t="s">
        <v>259</v>
      </c>
      <c r="I3" s="24" t="s">
        <v>262</v>
      </c>
    </row>
    <row r="4" ht="64.5" customHeight="1">
      <c r="A4" s="13" t="s">
        <v>265</v>
      </c>
      <c r="B4" s="15" t="s">
        <v>266</v>
      </c>
      <c r="C4" s="16" t="s">
        <v>268</v>
      </c>
      <c r="D4" s="16" t="s">
        <v>269</v>
      </c>
      <c r="E4" s="32" t="s">
        <v>270</v>
      </c>
      <c r="F4" s="32" t="s">
        <v>272</v>
      </c>
      <c r="G4" s="16" t="s">
        <v>274</v>
      </c>
      <c r="H4" s="16" t="s">
        <v>277</v>
      </c>
      <c r="I4" s="18" t="s">
        <v>279</v>
      </c>
    </row>
    <row r="5" ht="64.5" customHeight="1">
      <c r="A5" s="19" t="s">
        <v>281</v>
      </c>
      <c r="B5" s="21" t="s">
        <v>282</v>
      </c>
      <c r="C5" s="22" t="s">
        <v>284</v>
      </c>
      <c r="D5" s="22" t="s">
        <v>285</v>
      </c>
      <c r="E5" s="22" t="s">
        <v>287</v>
      </c>
      <c r="F5" s="22" t="s">
        <v>289</v>
      </c>
      <c r="G5" s="22" t="s">
        <v>291</v>
      </c>
      <c r="H5" s="22" t="s">
        <v>293</v>
      </c>
      <c r="I5" s="24" t="s">
        <v>294</v>
      </c>
    </row>
    <row r="6" ht="64.5" customHeight="1">
      <c r="A6" s="25" t="s">
        <v>296</v>
      </c>
      <c r="B6" s="26" t="s">
        <v>299</v>
      </c>
      <c r="C6" s="27" t="s">
        <v>303</v>
      </c>
      <c r="D6" s="27" t="s">
        <v>305</v>
      </c>
      <c r="E6" s="27" t="s">
        <v>306</v>
      </c>
      <c r="F6" s="27" t="s">
        <v>308</v>
      </c>
      <c r="G6" s="27" t="s">
        <v>310</v>
      </c>
      <c r="H6" s="27" t="s">
        <v>312</v>
      </c>
      <c r="I6" s="29" t="s">
        <v>315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31.57"/>
    <col customWidth="1" min="3" max="3" width="28.71"/>
    <col customWidth="1" min="4" max="4" width="40.14"/>
    <col customWidth="1" min="5" max="5" width="50.14"/>
    <col customWidth="1" min="6" max="6" width="45.86"/>
    <col customWidth="1" min="7" max="7" width="31.57"/>
    <col customWidth="1" min="8" max="9" width="43.0"/>
    <col customWidth="1" min="10" max="26" width="8.71"/>
  </cols>
  <sheetData>
    <row r="1" ht="27.0" customHeight="1">
      <c r="A1" s="6" t="s">
        <v>1</v>
      </c>
      <c r="B1" s="8" t="s">
        <v>3</v>
      </c>
      <c r="C1" s="8" t="s">
        <v>6</v>
      </c>
      <c r="D1" s="8" t="s">
        <v>7</v>
      </c>
      <c r="E1" s="8" t="s">
        <v>8</v>
      </c>
      <c r="F1" s="8" t="s">
        <v>10</v>
      </c>
      <c r="G1" s="8" t="s">
        <v>11</v>
      </c>
      <c r="H1" s="8" t="s">
        <v>12</v>
      </c>
      <c r="I1" s="11" t="s">
        <v>13</v>
      </c>
    </row>
    <row r="2" ht="64.5" customHeight="1">
      <c r="A2" s="13" t="s">
        <v>498</v>
      </c>
      <c r="B2" s="15" t="s">
        <v>499</v>
      </c>
      <c r="C2" s="16" t="s">
        <v>501</v>
      </c>
      <c r="D2" s="32" t="s">
        <v>503</v>
      </c>
      <c r="E2" s="16" t="s">
        <v>505</v>
      </c>
      <c r="F2" s="16" t="s">
        <v>506</v>
      </c>
      <c r="G2" s="16" t="s">
        <v>507</v>
      </c>
      <c r="H2" s="16" t="s">
        <v>509</v>
      </c>
      <c r="I2" s="18" t="s">
        <v>510</v>
      </c>
    </row>
    <row r="3" ht="64.5" customHeight="1">
      <c r="A3" s="19" t="s">
        <v>512</v>
      </c>
      <c r="B3" s="21" t="s">
        <v>513</v>
      </c>
      <c r="C3" s="22" t="s">
        <v>515</v>
      </c>
      <c r="D3" s="22" t="s">
        <v>517</v>
      </c>
      <c r="E3" s="43" t="s">
        <v>520</v>
      </c>
      <c r="F3" s="22" t="s">
        <v>523</v>
      </c>
      <c r="G3" s="22" t="s">
        <v>526</v>
      </c>
      <c r="H3" s="43" t="s">
        <v>527</v>
      </c>
      <c r="I3" s="24" t="s">
        <v>531</v>
      </c>
    </row>
    <row r="4" ht="64.5" customHeight="1">
      <c r="A4" s="25" t="s">
        <v>536</v>
      </c>
      <c r="B4" s="26" t="s">
        <v>542</v>
      </c>
      <c r="C4" s="27" t="s">
        <v>547</v>
      </c>
      <c r="D4" s="27" t="s">
        <v>551</v>
      </c>
      <c r="E4" s="27" t="s">
        <v>555</v>
      </c>
      <c r="F4" s="27" t="s">
        <v>557</v>
      </c>
      <c r="G4" s="27" t="s">
        <v>560</v>
      </c>
      <c r="H4" s="27" t="s">
        <v>563</v>
      </c>
      <c r="I4" s="29" t="s">
        <v>566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31.57"/>
    <col customWidth="1" min="3" max="3" width="28.71"/>
    <col customWidth="1" min="4" max="4" width="40.14"/>
    <col customWidth="1" min="5" max="5" width="50.14"/>
    <col customWidth="1" min="6" max="6" width="45.86"/>
    <col customWidth="1" min="7" max="7" width="31.57"/>
    <col customWidth="1" min="8" max="9" width="43.0"/>
    <col customWidth="1" min="10" max="26" width="8.71"/>
  </cols>
  <sheetData>
    <row r="1" ht="27.0" customHeight="1">
      <c r="A1" s="6" t="s">
        <v>1</v>
      </c>
      <c r="B1" s="8" t="s">
        <v>3</v>
      </c>
      <c r="C1" s="8" t="s">
        <v>6</v>
      </c>
      <c r="D1" s="8" t="s">
        <v>7</v>
      </c>
      <c r="E1" s="8" t="s">
        <v>8</v>
      </c>
      <c r="F1" s="8" t="s">
        <v>10</v>
      </c>
      <c r="G1" s="8" t="s">
        <v>11</v>
      </c>
      <c r="H1" s="8" t="s">
        <v>12</v>
      </c>
      <c r="I1" s="11" t="s">
        <v>13</v>
      </c>
    </row>
    <row r="2" ht="64.5" customHeight="1">
      <c r="A2" s="13" t="s">
        <v>516</v>
      </c>
      <c r="B2" s="15" t="s">
        <v>518</v>
      </c>
      <c r="C2" s="16" t="s">
        <v>519</v>
      </c>
      <c r="D2" s="16" t="s">
        <v>521</v>
      </c>
      <c r="E2" s="16" t="s">
        <v>522</v>
      </c>
      <c r="F2" s="16" t="s">
        <v>524</v>
      </c>
      <c r="G2" s="16" t="s">
        <v>525</v>
      </c>
      <c r="H2" s="32" t="s">
        <v>528</v>
      </c>
      <c r="I2" s="18" t="s">
        <v>529</v>
      </c>
    </row>
    <row r="3" ht="64.5" customHeight="1">
      <c r="A3" s="19" t="s">
        <v>532</v>
      </c>
      <c r="B3" s="21" t="s">
        <v>533</v>
      </c>
      <c r="C3" s="22" t="s">
        <v>534</v>
      </c>
      <c r="D3" s="22" t="s">
        <v>535</v>
      </c>
      <c r="E3" s="22" t="s">
        <v>538</v>
      </c>
      <c r="F3" s="22" t="s">
        <v>540</v>
      </c>
      <c r="G3" s="22" t="s">
        <v>543</v>
      </c>
      <c r="H3" s="22" t="s">
        <v>545</v>
      </c>
      <c r="I3" s="24" t="s">
        <v>548</v>
      </c>
    </row>
    <row r="4" ht="64.5" customHeight="1">
      <c r="A4" s="13" t="s">
        <v>550</v>
      </c>
      <c r="B4" s="15" t="s">
        <v>552</v>
      </c>
      <c r="C4" s="16" t="s">
        <v>553</v>
      </c>
      <c r="D4" s="16" t="s">
        <v>554</v>
      </c>
      <c r="E4" s="32" t="s">
        <v>556</v>
      </c>
      <c r="F4" s="16" t="s">
        <v>558</v>
      </c>
      <c r="G4" s="16" t="s">
        <v>559</v>
      </c>
      <c r="H4" s="32" t="s">
        <v>561</v>
      </c>
      <c r="I4" s="18" t="s">
        <v>562</v>
      </c>
    </row>
    <row r="5" ht="64.5" customHeight="1">
      <c r="A5" s="90" t="s">
        <v>564</v>
      </c>
      <c r="B5" s="92" t="s">
        <v>567</v>
      </c>
      <c r="C5" s="94" t="s">
        <v>569</v>
      </c>
      <c r="D5" s="94" t="s">
        <v>571</v>
      </c>
      <c r="E5" s="144" t="s">
        <v>572</v>
      </c>
      <c r="F5" s="94" t="s">
        <v>808</v>
      </c>
      <c r="G5" s="94" t="s">
        <v>809</v>
      </c>
      <c r="H5" s="94" t="s">
        <v>810</v>
      </c>
      <c r="I5" s="148" t="s">
        <v>811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31.57"/>
    <col customWidth="1" min="3" max="3" width="28.71"/>
    <col customWidth="1" min="4" max="4" width="40.14"/>
    <col customWidth="1" min="5" max="5" width="50.14"/>
    <col customWidth="1" min="6" max="6" width="45.86"/>
    <col customWidth="1" min="7" max="7" width="31.57"/>
    <col customWidth="1" min="8" max="9" width="43.0"/>
  </cols>
  <sheetData>
    <row r="1" ht="31.5" customHeight="1">
      <c r="A1" s="1" t="s">
        <v>1</v>
      </c>
      <c r="B1" s="1" t="s">
        <v>3</v>
      </c>
      <c r="C1" s="1" t="s">
        <v>6</v>
      </c>
      <c r="D1" s="1" t="s">
        <v>7</v>
      </c>
      <c r="E1" s="1" t="s">
        <v>8</v>
      </c>
      <c r="F1" s="1" t="s">
        <v>10</v>
      </c>
      <c r="G1" s="1" t="s">
        <v>11</v>
      </c>
      <c r="H1" s="1" t="s">
        <v>12</v>
      </c>
      <c r="I1" s="1" t="s">
        <v>13</v>
      </c>
    </row>
    <row r="2">
      <c r="A2" s="141" t="s">
        <v>663</v>
      </c>
      <c r="B2" s="142" t="s">
        <v>665</v>
      </c>
      <c r="C2" s="32" t="s">
        <v>666</v>
      </c>
      <c r="D2" s="32" t="s">
        <v>667</v>
      </c>
      <c r="E2" s="32" t="s">
        <v>668</v>
      </c>
      <c r="F2" s="32" t="s">
        <v>669</v>
      </c>
      <c r="G2" s="32" t="s">
        <v>670</v>
      </c>
      <c r="H2" s="32" t="s">
        <v>671</v>
      </c>
      <c r="I2" s="32" t="s">
        <v>672</v>
      </c>
    </row>
    <row r="3">
      <c r="A3" s="141" t="s">
        <v>673</v>
      </c>
      <c r="B3" s="142" t="s">
        <v>674</v>
      </c>
      <c r="C3" s="32" t="s">
        <v>675</v>
      </c>
      <c r="D3" s="32" t="s">
        <v>676</v>
      </c>
      <c r="E3" s="32" t="s">
        <v>677</v>
      </c>
      <c r="F3" s="32" t="s">
        <v>678</v>
      </c>
      <c r="G3" s="32" t="s">
        <v>679</v>
      </c>
      <c r="H3" s="32" t="s">
        <v>680</v>
      </c>
      <c r="I3" s="32" t="s">
        <v>681</v>
      </c>
    </row>
    <row r="4">
      <c r="A4" s="141" t="s">
        <v>682</v>
      </c>
      <c r="B4" s="142" t="s">
        <v>683</v>
      </c>
      <c r="C4" s="32" t="s">
        <v>684</v>
      </c>
      <c r="D4" s="32" t="s">
        <v>685</v>
      </c>
      <c r="E4" s="32" t="s">
        <v>686</v>
      </c>
      <c r="F4" s="32" t="s">
        <v>687</v>
      </c>
      <c r="G4" s="32" t="s">
        <v>688</v>
      </c>
      <c r="H4" s="32" t="s">
        <v>689</v>
      </c>
      <c r="I4" s="32" t="s">
        <v>690</v>
      </c>
    </row>
    <row r="5">
      <c r="A5" s="141" t="s">
        <v>691</v>
      </c>
      <c r="B5" s="142" t="s">
        <v>692</v>
      </c>
      <c r="C5" s="32" t="s">
        <v>693</v>
      </c>
      <c r="D5" s="32" t="s">
        <v>694</v>
      </c>
      <c r="E5" s="32" t="s">
        <v>695</v>
      </c>
      <c r="F5" s="32" t="s">
        <v>696</v>
      </c>
      <c r="G5" s="32" t="s">
        <v>697</v>
      </c>
      <c r="H5" s="32" t="s">
        <v>698</v>
      </c>
      <c r="I5" s="32" t="s">
        <v>699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31.57"/>
    <col customWidth="1" min="3" max="3" width="28.71"/>
    <col customWidth="1" min="4" max="4" width="40.14"/>
    <col customWidth="1" min="5" max="5" width="50.14"/>
    <col customWidth="1" min="6" max="6" width="45.86"/>
    <col customWidth="1" min="7" max="7" width="31.57"/>
    <col customWidth="1" min="8" max="9" width="43.0"/>
  </cols>
  <sheetData>
    <row r="1" ht="31.5" customHeight="1">
      <c r="A1" s="1" t="s">
        <v>1</v>
      </c>
      <c r="B1" s="1" t="s">
        <v>3</v>
      </c>
      <c r="C1" s="1" t="s">
        <v>6</v>
      </c>
      <c r="D1" s="1" t="s">
        <v>7</v>
      </c>
      <c r="E1" s="1" t="s">
        <v>8</v>
      </c>
      <c r="F1" s="1" t="s">
        <v>10</v>
      </c>
      <c r="G1" s="1" t="s">
        <v>11</v>
      </c>
      <c r="H1" s="1" t="s">
        <v>12</v>
      </c>
      <c r="I1" s="1" t="s">
        <v>13</v>
      </c>
    </row>
    <row r="2">
      <c r="A2" s="141" t="s">
        <v>700</v>
      </c>
      <c r="B2" s="142" t="s">
        <v>701</v>
      </c>
      <c r="C2" s="32" t="s">
        <v>702</v>
      </c>
      <c r="D2" s="32" t="s">
        <v>703</v>
      </c>
      <c r="E2" s="32" t="s">
        <v>704</v>
      </c>
      <c r="F2" s="32" t="s">
        <v>705</v>
      </c>
      <c r="G2" s="32" t="s">
        <v>706</v>
      </c>
      <c r="H2" s="32" t="s">
        <v>707</v>
      </c>
      <c r="I2" s="32" t="s">
        <v>708</v>
      </c>
    </row>
    <row r="3">
      <c r="A3" s="141" t="s">
        <v>709</v>
      </c>
      <c r="B3" s="142" t="s">
        <v>710</v>
      </c>
      <c r="C3" s="32" t="s">
        <v>711</v>
      </c>
      <c r="D3" s="32" t="s">
        <v>712</v>
      </c>
      <c r="E3" s="32" t="s">
        <v>713</v>
      </c>
      <c r="F3" s="32" t="s">
        <v>714</v>
      </c>
      <c r="G3" s="32" t="s">
        <v>715</v>
      </c>
      <c r="H3" s="32" t="s">
        <v>716</v>
      </c>
      <c r="I3" s="32" t="s">
        <v>717</v>
      </c>
    </row>
    <row r="4">
      <c r="A4" s="141" t="s">
        <v>718</v>
      </c>
      <c r="B4" s="142" t="s">
        <v>719</v>
      </c>
      <c r="C4" s="32" t="s">
        <v>720</v>
      </c>
      <c r="D4" s="32" t="s">
        <v>721</v>
      </c>
      <c r="E4" s="32" t="s">
        <v>722</v>
      </c>
      <c r="F4" s="32" t="s">
        <v>723</v>
      </c>
      <c r="G4" s="32" t="s">
        <v>724</v>
      </c>
      <c r="H4" s="32" t="s">
        <v>725</v>
      </c>
      <c r="I4" s="32" t="s">
        <v>726</v>
      </c>
    </row>
    <row r="5">
      <c r="A5" s="141" t="s">
        <v>727</v>
      </c>
      <c r="B5" s="142" t="s">
        <v>728</v>
      </c>
      <c r="C5" s="32" t="s">
        <v>729</v>
      </c>
      <c r="D5" s="32" t="s">
        <v>730</v>
      </c>
      <c r="E5" s="32" t="s">
        <v>731</v>
      </c>
      <c r="F5" s="32" t="s">
        <v>732</v>
      </c>
      <c r="G5" s="32" t="s">
        <v>733</v>
      </c>
      <c r="H5" s="32" t="s">
        <v>734</v>
      </c>
      <c r="I5" s="32" t="s">
        <v>735</v>
      </c>
    </row>
    <row r="6">
      <c r="A6" s="141" t="s">
        <v>736</v>
      </c>
      <c r="B6" s="142" t="s">
        <v>737</v>
      </c>
      <c r="C6" s="32" t="s">
        <v>738</v>
      </c>
      <c r="D6" s="32" t="s">
        <v>739</v>
      </c>
      <c r="E6" s="32" t="s">
        <v>740</v>
      </c>
      <c r="F6" s="32" t="s">
        <v>741</v>
      </c>
      <c r="G6" s="32" t="s">
        <v>742</v>
      </c>
      <c r="H6" s="32" t="s">
        <v>743</v>
      </c>
      <c r="I6" s="32" t="s">
        <v>744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31.57"/>
    <col customWidth="1" min="3" max="3" width="28.71"/>
    <col customWidth="1" min="4" max="4" width="40.14"/>
    <col customWidth="1" min="5" max="5" width="50.14"/>
    <col customWidth="1" min="6" max="6" width="45.86"/>
    <col customWidth="1" min="7" max="7" width="31.57"/>
    <col customWidth="1" min="8" max="9" width="43.0"/>
  </cols>
  <sheetData>
    <row r="1" ht="31.5" customHeight="1">
      <c r="A1" s="1" t="s">
        <v>1</v>
      </c>
      <c r="B1" s="1" t="s">
        <v>3</v>
      </c>
      <c r="C1" s="1" t="s">
        <v>6</v>
      </c>
      <c r="D1" s="1" t="s">
        <v>7</v>
      </c>
      <c r="E1" s="1" t="s">
        <v>8</v>
      </c>
      <c r="F1" s="1" t="s">
        <v>10</v>
      </c>
      <c r="G1" s="1" t="s">
        <v>11</v>
      </c>
      <c r="H1" s="1" t="s">
        <v>12</v>
      </c>
      <c r="I1" s="1" t="s">
        <v>13</v>
      </c>
    </row>
    <row r="2">
      <c r="A2" s="141" t="s">
        <v>745</v>
      </c>
      <c r="B2" s="142" t="s">
        <v>746</v>
      </c>
      <c r="C2" s="32" t="s">
        <v>747</v>
      </c>
      <c r="D2" s="32" t="s">
        <v>748</v>
      </c>
      <c r="E2" s="32" t="s">
        <v>749</v>
      </c>
      <c r="F2" s="32" t="s">
        <v>750</v>
      </c>
      <c r="G2" s="32" t="s">
        <v>751</v>
      </c>
      <c r="H2" s="32" t="s">
        <v>752</v>
      </c>
      <c r="I2" s="32" t="s">
        <v>753</v>
      </c>
    </row>
    <row r="3">
      <c r="A3" s="141" t="s">
        <v>754</v>
      </c>
      <c r="B3" s="142" t="s">
        <v>755</v>
      </c>
      <c r="C3" s="32" t="s">
        <v>756</v>
      </c>
      <c r="D3" s="32" t="s">
        <v>757</v>
      </c>
      <c r="E3" s="32" t="s">
        <v>758</v>
      </c>
      <c r="F3" s="32" t="s">
        <v>759</v>
      </c>
      <c r="G3" s="32" t="s">
        <v>760</v>
      </c>
      <c r="H3" s="32" t="s">
        <v>761</v>
      </c>
      <c r="I3" s="32" t="s">
        <v>762</v>
      </c>
    </row>
    <row r="4">
      <c r="A4" s="141" t="s">
        <v>763</v>
      </c>
      <c r="B4" s="142" t="s">
        <v>764</v>
      </c>
      <c r="C4" s="32" t="s">
        <v>765</v>
      </c>
      <c r="D4" s="32" t="s">
        <v>766</v>
      </c>
      <c r="E4" s="32" t="s">
        <v>767</v>
      </c>
      <c r="F4" s="32" t="s">
        <v>768</v>
      </c>
      <c r="G4" s="32" t="s">
        <v>769</v>
      </c>
      <c r="H4" s="32" t="s">
        <v>770</v>
      </c>
      <c r="I4" s="32" t="s">
        <v>771</v>
      </c>
    </row>
    <row r="5">
      <c r="A5" s="141" t="s">
        <v>772</v>
      </c>
      <c r="B5" s="142" t="s">
        <v>773</v>
      </c>
      <c r="C5" s="32" t="s">
        <v>774</v>
      </c>
      <c r="D5" s="32" t="s">
        <v>775</v>
      </c>
      <c r="E5" s="32" t="s">
        <v>776</v>
      </c>
      <c r="F5" s="32" t="s">
        <v>777</v>
      </c>
      <c r="G5" s="32" t="s">
        <v>778</v>
      </c>
      <c r="H5" s="32" t="s">
        <v>779</v>
      </c>
      <c r="I5" s="32" t="s">
        <v>780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31.57"/>
    <col customWidth="1" min="3" max="3" width="28.71"/>
    <col customWidth="1" min="4" max="4" width="40.14"/>
    <col customWidth="1" min="5" max="5" width="50.14"/>
    <col customWidth="1" min="6" max="6" width="45.86"/>
    <col customWidth="1" min="7" max="7" width="31.57"/>
    <col customWidth="1" min="8" max="9" width="43.0"/>
  </cols>
  <sheetData>
    <row r="1" ht="31.5" customHeight="1">
      <c r="A1" s="1" t="s">
        <v>1</v>
      </c>
      <c r="B1" s="1" t="s">
        <v>3</v>
      </c>
      <c r="C1" s="1" t="s">
        <v>6</v>
      </c>
      <c r="D1" s="1" t="s">
        <v>7</v>
      </c>
      <c r="E1" s="1" t="s">
        <v>8</v>
      </c>
      <c r="F1" s="1" t="s">
        <v>10</v>
      </c>
      <c r="G1" s="1" t="s">
        <v>11</v>
      </c>
      <c r="H1" s="1" t="s">
        <v>12</v>
      </c>
      <c r="I1" s="1" t="s">
        <v>13</v>
      </c>
    </row>
    <row r="2">
      <c r="A2" s="141" t="s">
        <v>781</v>
      </c>
      <c r="B2" s="142" t="s">
        <v>782</v>
      </c>
      <c r="C2" s="32" t="s">
        <v>783</v>
      </c>
      <c r="D2" s="32" t="s">
        <v>784</v>
      </c>
      <c r="E2" s="32" t="s">
        <v>785</v>
      </c>
      <c r="F2" s="32" t="s">
        <v>786</v>
      </c>
      <c r="G2" s="32" t="s">
        <v>787</v>
      </c>
      <c r="H2" s="32" t="s">
        <v>788</v>
      </c>
      <c r="I2" s="32" t="s">
        <v>789</v>
      </c>
    </row>
    <row r="3">
      <c r="A3" s="141" t="s">
        <v>790</v>
      </c>
      <c r="B3" s="142" t="s">
        <v>791</v>
      </c>
      <c r="C3" s="32" t="s">
        <v>792</v>
      </c>
      <c r="D3" s="32" t="s">
        <v>793</v>
      </c>
      <c r="E3" s="32" t="s">
        <v>794</v>
      </c>
      <c r="F3" s="32" t="s">
        <v>795</v>
      </c>
      <c r="G3" s="32" t="s">
        <v>796</v>
      </c>
      <c r="H3" s="32" t="s">
        <v>797</v>
      </c>
      <c r="I3" s="32" t="s">
        <v>798</v>
      </c>
    </row>
    <row r="4">
      <c r="A4" s="141" t="s">
        <v>799</v>
      </c>
      <c r="B4" s="142" t="s">
        <v>800</v>
      </c>
      <c r="C4" s="32" t="s">
        <v>801</v>
      </c>
      <c r="D4" s="32" t="s">
        <v>802</v>
      </c>
      <c r="E4" s="32" t="s">
        <v>803</v>
      </c>
      <c r="F4" s="32" t="s">
        <v>804</v>
      </c>
      <c r="G4" s="32" t="s">
        <v>805</v>
      </c>
      <c r="H4" s="32" t="s">
        <v>806</v>
      </c>
      <c r="I4" s="32" t="s">
        <v>807</v>
      </c>
    </row>
  </sheetData>
  <drawing r:id="rId1"/>
</worksheet>
</file>